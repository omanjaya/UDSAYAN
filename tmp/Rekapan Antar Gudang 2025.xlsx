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ZONX\UD Mitra USaha 2025\"/>
    </mc:Choice>
  </mc:AlternateContent>
  <xr:revisionPtr revIDLastSave="0" documentId="13_ncr:1_{46D8634A-807E-4A02-8BFA-261CA90501A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anggu" sheetId="2" r:id="rId1"/>
    <sheet name="Sayan" sheetId="3" r:id="rId2"/>
    <sheet name="Pejeng" sheetId="5" r:id="rId3"/>
    <sheet name="Samplangan" sheetId="6" r:id="rId4"/>
    <sheet name="Teges" sheetId="8" r:id="rId5"/>
    <sheet name="Total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9" i="5" l="1"/>
  <c r="K118" i="5"/>
  <c r="K117" i="5"/>
  <c r="K116" i="5"/>
  <c r="K115" i="5"/>
  <c r="K114" i="5"/>
  <c r="K113" i="5"/>
  <c r="E113" i="5"/>
  <c r="Q112" i="5"/>
  <c r="K112" i="5"/>
  <c r="E112" i="5"/>
  <c r="K111" i="5"/>
  <c r="K110" i="5"/>
  <c r="K109" i="5"/>
  <c r="K108" i="5"/>
  <c r="K107" i="5"/>
  <c r="K106" i="5"/>
  <c r="K105" i="5"/>
  <c r="K104" i="5"/>
  <c r="K103" i="5"/>
  <c r="K102" i="5"/>
  <c r="E102" i="5"/>
  <c r="Q101" i="5"/>
  <c r="K101" i="5"/>
  <c r="E101" i="5"/>
  <c r="Q100" i="5"/>
  <c r="K100" i="5"/>
  <c r="E100" i="5"/>
  <c r="Q99" i="5"/>
  <c r="J99" i="5"/>
  <c r="I99" i="5"/>
  <c r="K99" i="5" s="1"/>
  <c r="E99" i="5"/>
  <c r="Q98" i="5"/>
  <c r="J98" i="5"/>
  <c r="I98" i="5"/>
  <c r="K98" i="5" s="1"/>
  <c r="E98" i="5"/>
  <c r="Q97" i="5"/>
  <c r="K97" i="5"/>
  <c r="E97" i="5"/>
  <c r="Q96" i="5"/>
  <c r="J96" i="5"/>
  <c r="I96" i="5"/>
  <c r="K96" i="5" s="1"/>
  <c r="E96" i="5"/>
  <c r="Q95" i="5"/>
  <c r="K95" i="5"/>
  <c r="E95" i="5"/>
  <c r="Q94" i="5"/>
  <c r="K94" i="5"/>
  <c r="E94" i="5"/>
  <c r="E120" i="5" s="1"/>
  <c r="Q93" i="5"/>
  <c r="Q120" i="5" s="1"/>
  <c r="K93" i="5"/>
  <c r="E93" i="5"/>
  <c r="W69" i="3"/>
  <c r="Q69" i="3"/>
  <c r="K69" i="3"/>
  <c r="E69" i="3"/>
  <c r="W68" i="3"/>
  <c r="Q68" i="3"/>
  <c r="K68" i="3"/>
  <c r="E68" i="3"/>
  <c r="W67" i="3"/>
  <c r="Q67" i="3"/>
  <c r="K67" i="3"/>
  <c r="E67" i="3"/>
  <c r="W66" i="3"/>
  <c r="Q66" i="3"/>
  <c r="K66" i="3"/>
  <c r="E66" i="3"/>
  <c r="W65" i="3"/>
  <c r="Q65" i="3"/>
  <c r="K65" i="3"/>
  <c r="E65" i="3"/>
  <c r="W64" i="3"/>
  <c r="Q64" i="3"/>
  <c r="K64" i="3"/>
  <c r="E64" i="3"/>
  <c r="W63" i="3"/>
  <c r="Q63" i="3"/>
  <c r="K63" i="3"/>
  <c r="E63" i="3"/>
  <c r="W62" i="3"/>
  <c r="Q62" i="3"/>
  <c r="K62" i="3"/>
  <c r="E62" i="3"/>
  <c r="W61" i="3"/>
  <c r="Q61" i="3"/>
  <c r="K61" i="3"/>
  <c r="E61" i="3"/>
  <c r="W60" i="3"/>
  <c r="Q60" i="3"/>
  <c r="K60" i="3"/>
  <c r="K70" i="3" s="1"/>
  <c r="E60" i="3"/>
  <c r="E70" i="3" s="1"/>
  <c r="V59" i="3"/>
  <c r="U59" i="3"/>
  <c r="W59" i="3" s="1"/>
  <c r="Q59" i="3"/>
  <c r="K59" i="3"/>
  <c r="E59" i="3"/>
  <c r="W58" i="3"/>
  <c r="Q58" i="3"/>
  <c r="K58" i="3"/>
  <c r="E58" i="3"/>
  <c r="W57" i="3"/>
  <c r="W70" i="3" s="1"/>
  <c r="Q57" i="3"/>
  <c r="Q70" i="3" s="1"/>
  <c r="K57" i="3"/>
  <c r="E57" i="3"/>
  <c r="W124" i="2"/>
  <c r="Q124" i="2"/>
  <c r="K124" i="2"/>
  <c r="E124" i="2"/>
  <c r="W123" i="2"/>
  <c r="Q123" i="2"/>
  <c r="K123" i="2"/>
  <c r="E123" i="2"/>
  <c r="Q122" i="2"/>
  <c r="E122" i="2"/>
  <c r="Q121" i="2"/>
  <c r="E121" i="2"/>
  <c r="Q120" i="2"/>
  <c r="E120" i="2"/>
  <c r="Q119" i="2"/>
  <c r="E119" i="2"/>
  <c r="Q118" i="2"/>
  <c r="E118" i="2"/>
  <c r="Q117" i="2"/>
  <c r="E117" i="2"/>
  <c r="Q116" i="2"/>
  <c r="E116" i="2"/>
  <c r="W115" i="2"/>
  <c r="Q115" i="2"/>
  <c r="K115" i="2"/>
  <c r="E115" i="2"/>
  <c r="W114" i="2"/>
  <c r="Q114" i="2"/>
  <c r="K114" i="2"/>
  <c r="E114" i="2"/>
  <c r="W113" i="2"/>
  <c r="Q113" i="2"/>
  <c r="K113" i="2"/>
  <c r="E113" i="2"/>
  <c r="W112" i="2"/>
  <c r="Q112" i="2"/>
  <c r="K112" i="2"/>
  <c r="E112" i="2"/>
  <c r="W111" i="2"/>
  <c r="Q111" i="2"/>
  <c r="K111" i="2"/>
  <c r="E111" i="2"/>
  <c r="W110" i="2"/>
  <c r="Q110" i="2"/>
  <c r="K110" i="2"/>
  <c r="E110" i="2"/>
  <c r="W109" i="2"/>
  <c r="Q109" i="2"/>
  <c r="K109" i="2"/>
  <c r="E109" i="2"/>
  <c r="W108" i="2"/>
  <c r="Q108" i="2"/>
  <c r="K108" i="2"/>
  <c r="E108" i="2"/>
  <c r="W107" i="2"/>
  <c r="Q107" i="2"/>
  <c r="K107" i="2"/>
  <c r="D107" i="2"/>
  <c r="C107" i="2"/>
  <c r="E107" i="2" s="1"/>
  <c r="W106" i="2"/>
  <c r="Q106" i="2"/>
  <c r="K106" i="2"/>
  <c r="E106" i="2"/>
  <c r="W105" i="2"/>
  <c r="Q105" i="2"/>
  <c r="K105" i="2"/>
  <c r="E105" i="2"/>
  <c r="W104" i="2"/>
  <c r="Q104" i="2"/>
  <c r="K104" i="2"/>
  <c r="E104" i="2"/>
  <c r="W103" i="2"/>
  <c r="Q103" i="2"/>
  <c r="K103" i="2"/>
  <c r="E103" i="2"/>
  <c r="W102" i="2"/>
  <c r="W125" i="2" s="1"/>
  <c r="Q102" i="2"/>
  <c r="Q125" i="2" s="1"/>
  <c r="K102" i="2"/>
  <c r="K125" i="2" s="1"/>
  <c r="E102" i="2"/>
  <c r="E125" i="2" s="1"/>
  <c r="Q19" i="8"/>
  <c r="I19" i="8"/>
  <c r="K19" i="8" s="1"/>
  <c r="E19" i="8"/>
  <c r="Q18" i="8"/>
  <c r="K18" i="8"/>
  <c r="E18" i="8"/>
  <c r="Q17" i="8"/>
  <c r="K17" i="8"/>
  <c r="E17" i="8"/>
  <c r="Q16" i="8"/>
  <c r="K16" i="8"/>
  <c r="E16" i="8"/>
  <c r="Q15" i="8"/>
  <c r="K15" i="8"/>
  <c r="E15" i="8"/>
  <c r="Q14" i="8"/>
  <c r="K14" i="8"/>
  <c r="E14" i="8"/>
  <c r="Q13" i="8"/>
  <c r="Q20" i="8" s="1"/>
  <c r="K13" i="8"/>
  <c r="E13" i="8"/>
  <c r="K85" i="5"/>
  <c r="K84" i="5"/>
  <c r="E84" i="5"/>
  <c r="Q83" i="5"/>
  <c r="K83" i="5"/>
  <c r="E83" i="5"/>
  <c r="J82" i="5"/>
  <c r="I82" i="5"/>
  <c r="K82" i="5" s="1"/>
  <c r="J81" i="5"/>
  <c r="I81" i="5"/>
  <c r="K81" i="5" s="1"/>
  <c r="J80" i="5"/>
  <c r="I80" i="5"/>
  <c r="K80" i="5" s="1"/>
  <c r="K79" i="5"/>
  <c r="K78" i="5"/>
  <c r="I77" i="5"/>
  <c r="K77" i="5" s="1"/>
  <c r="K76" i="5"/>
  <c r="J75" i="5"/>
  <c r="I75" i="5"/>
  <c r="K75" i="5" s="1"/>
  <c r="K74" i="5"/>
  <c r="K73" i="5"/>
  <c r="E73" i="5"/>
  <c r="Q72" i="5"/>
  <c r="I72" i="5"/>
  <c r="K72" i="5" s="1"/>
  <c r="E72" i="5"/>
  <c r="Q71" i="5"/>
  <c r="J71" i="5"/>
  <c r="K71" i="5" s="1"/>
  <c r="I71" i="5"/>
  <c r="E71" i="5"/>
  <c r="Q70" i="5"/>
  <c r="K70" i="5"/>
  <c r="E70" i="5"/>
  <c r="Q69" i="5"/>
  <c r="K69" i="5"/>
  <c r="E69" i="5"/>
  <c r="Q68" i="5"/>
  <c r="J68" i="5"/>
  <c r="I68" i="5"/>
  <c r="K68" i="5" s="1"/>
  <c r="E68" i="5"/>
  <c r="Q67" i="5"/>
  <c r="K67" i="5"/>
  <c r="E67" i="5"/>
  <c r="Q66" i="5"/>
  <c r="J66" i="5"/>
  <c r="I66" i="5"/>
  <c r="K66" i="5" s="1"/>
  <c r="E66" i="5"/>
  <c r="Q65" i="5"/>
  <c r="J65" i="5"/>
  <c r="I65" i="5"/>
  <c r="K65" i="5" s="1"/>
  <c r="E65" i="5"/>
  <c r="Q64" i="5"/>
  <c r="J64" i="5"/>
  <c r="I64" i="5"/>
  <c r="K64" i="5" s="1"/>
  <c r="E64" i="5"/>
  <c r="E86" i="5" s="1"/>
  <c r="W50" i="3"/>
  <c r="Q50" i="3"/>
  <c r="K50" i="3"/>
  <c r="E50" i="3"/>
  <c r="W49" i="3"/>
  <c r="Q49" i="3"/>
  <c r="K49" i="3"/>
  <c r="E49" i="3"/>
  <c r="W48" i="3"/>
  <c r="Q48" i="3"/>
  <c r="K48" i="3"/>
  <c r="E48" i="3"/>
  <c r="W47" i="3"/>
  <c r="Q47" i="3"/>
  <c r="K47" i="3"/>
  <c r="E47" i="3"/>
  <c r="E51" i="3" s="1"/>
  <c r="U46" i="3"/>
  <c r="W46" i="3" s="1"/>
  <c r="Q46" i="3"/>
  <c r="K46" i="3"/>
  <c r="E46" i="3"/>
  <c r="U45" i="3"/>
  <c r="W45" i="3" s="1"/>
  <c r="W51" i="3" s="1"/>
  <c r="O45" i="3"/>
  <c r="Q45" i="3" s="1"/>
  <c r="Q51" i="3" s="1"/>
  <c r="K45" i="3"/>
  <c r="K51" i="3" s="1"/>
  <c r="E45" i="3"/>
  <c r="Q94" i="2"/>
  <c r="C94" i="2"/>
  <c r="E94" i="2" s="1"/>
  <c r="W93" i="2"/>
  <c r="Q93" i="2"/>
  <c r="K93" i="2"/>
  <c r="E93" i="2"/>
  <c r="W92" i="2"/>
  <c r="Q92" i="2"/>
  <c r="K92" i="2"/>
  <c r="E92" i="2"/>
  <c r="W91" i="2"/>
  <c r="Q91" i="2"/>
  <c r="K91" i="2"/>
  <c r="E91" i="2"/>
  <c r="W90" i="2"/>
  <c r="Q90" i="2"/>
  <c r="K90" i="2"/>
  <c r="E90" i="2"/>
  <c r="W89" i="2"/>
  <c r="Q89" i="2"/>
  <c r="K89" i="2"/>
  <c r="E89" i="2"/>
  <c r="W88" i="2"/>
  <c r="Q88" i="2"/>
  <c r="K88" i="2"/>
  <c r="E88" i="2"/>
  <c r="W87" i="2"/>
  <c r="Q87" i="2"/>
  <c r="K87" i="2"/>
  <c r="E87" i="2"/>
  <c r="W86" i="2"/>
  <c r="Q86" i="2"/>
  <c r="K86" i="2"/>
  <c r="E86" i="2"/>
  <c r="W85" i="2"/>
  <c r="Q85" i="2"/>
  <c r="K85" i="2"/>
  <c r="E85" i="2"/>
  <c r="W84" i="2"/>
  <c r="Q84" i="2"/>
  <c r="K84" i="2"/>
  <c r="E84" i="2"/>
  <c r="W83" i="2"/>
  <c r="Q83" i="2"/>
  <c r="K83" i="2"/>
  <c r="E83" i="2"/>
  <c r="W82" i="2"/>
  <c r="Q82" i="2"/>
  <c r="K82" i="2"/>
  <c r="E82" i="2"/>
  <c r="W81" i="2"/>
  <c r="Q81" i="2"/>
  <c r="I81" i="2"/>
  <c r="K81" i="2" s="1"/>
  <c r="E81" i="2"/>
  <c r="W80" i="2"/>
  <c r="O80" i="2"/>
  <c r="Q80" i="2" s="1"/>
  <c r="Q95" i="2" s="1"/>
  <c r="K80" i="2"/>
  <c r="E80" i="2"/>
  <c r="K57" i="5"/>
  <c r="K56" i="5"/>
  <c r="K55" i="5"/>
  <c r="I54" i="5"/>
  <c r="K54" i="5" s="1"/>
  <c r="K53" i="5"/>
  <c r="K52" i="5"/>
  <c r="E52" i="5"/>
  <c r="Q51" i="5"/>
  <c r="K51" i="5"/>
  <c r="E51" i="5"/>
  <c r="Q50" i="5"/>
  <c r="K50" i="5"/>
  <c r="E50" i="5"/>
  <c r="Q49" i="5"/>
  <c r="K49" i="5"/>
  <c r="E49" i="5"/>
  <c r="Q48" i="5"/>
  <c r="K48" i="5"/>
  <c r="E48" i="5"/>
  <c r="Q47" i="5"/>
  <c r="K47" i="5"/>
  <c r="E47" i="5"/>
  <c r="Q46" i="5"/>
  <c r="K46" i="5"/>
  <c r="E46" i="5"/>
  <c r="Q45" i="5"/>
  <c r="K45" i="5"/>
  <c r="E45" i="5"/>
  <c r="Q44" i="5"/>
  <c r="I44" i="5"/>
  <c r="K44" i="5" s="1"/>
  <c r="E44" i="5"/>
  <c r="Q43" i="5"/>
  <c r="K43" i="5"/>
  <c r="E43" i="5"/>
  <c r="W38" i="3"/>
  <c r="Q38" i="3"/>
  <c r="K38" i="3"/>
  <c r="E38" i="3"/>
  <c r="W37" i="3"/>
  <c r="Q37" i="3"/>
  <c r="K37" i="3"/>
  <c r="E37" i="3"/>
  <c r="W36" i="3"/>
  <c r="Q36" i="3"/>
  <c r="K36" i="3"/>
  <c r="E36" i="3"/>
  <c r="W35" i="3"/>
  <c r="O35" i="3"/>
  <c r="Q35" i="3" s="1"/>
  <c r="K35" i="3"/>
  <c r="E35" i="3"/>
  <c r="U34" i="3"/>
  <c r="W34" i="3" s="1"/>
  <c r="W39" i="3" s="1"/>
  <c r="Q34" i="3"/>
  <c r="O34" i="3"/>
  <c r="K34" i="3"/>
  <c r="E34" i="3"/>
  <c r="Q73" i="2"/>
  <c r="E73" i="2"/>
  <c r="Q72" i="2"/>
  <c r="E72" i="2"/>
  <c r="Q71" i="2"/>
  <c r="E71" i="2"/>
  <c r="Q70" i="2"/>
  <c r="E70" i="2"/>
  <c r="Q69" i="2"/>
  <c r="D69" i="2"/>
  <c r="C69" i="2"/>
  <c r="Q68" i="2"/>
  <c r="E68" i="2"/>
  <c r="W67" i="2"/>
  <c r="Q67" i="2"/>
  <c r="K67" i="2"/>
  <c r="E67" i="2"/>
  <c r="W66" i="2"/>
  <c r="Q66" i="2"/>
  <c r="K66" i="2"/>
  <c r="E66" i="2"/>
  <c r="W65" i="2"/>
  <c r="Q65" i="2"/>
  <c r="K65" i="2"/>
  <c r="E65" i="2"/>
  <c r="W64" i="2"/>
  <c r="Q64" i="2"/>
  <c r="K64" i="2"/>
  <c r="E64" i="2"/>
  <c r="W63" i="2"/>
  <c r="Q63" i="2"/>
  <c r="K63" i="2"/>
  <c r="E63" i="2"/>
  <c r="W62" i="2"/>
  <c r="Q62" i="2"/>
  <c r="K62" i="2"/>
  <c r="E62" i="2"/>
  <c r="W61" i="2"/>
  <c r="Q61" i="2"/>
  <c r="K61" i="2"/>
  <c r="E61" i="2"/>
  <c r="W60" i="2"/>
  <c r="Q60" i="2"/>
  <c r="K60" i="2"/>
  <c r="D60" i="2"/>
  <c r="C60" i="2"/>
  <c r="W59" i="2"/>
  <c r="Q59" i="2"/>
  <c r="K59" i="2"/>
  <c r="E59" i="2"/>
  <c r="W58" i="2"/>
  <c r="Q58" i="2"/>
  <c r="K58" i="2"/>
  <c r="E58" i="2"/>
  <c r="W57" i="2"/>
  <c r="Q57" i="2"/>
  <c r="K57" i="2"/>
  <c r="E57" i="2"/>
  <c r="W56" i="2"/>
  <c r="Q56" i="2"/>
  <c r="K56" i="2"/>
  <c r="E56" i="2"/>
  <c r="W55" i="2"/>
  <c r="Q55" i="2"/>
  <c r="K55" i="2"/>
  <c r="E55" i="2"/>
  <c r="U54" i="2"/>
  <c r="W54" i="2" s="1"/>
  <c r="Q54" i="2"/>
  <c r="K54" i="2"/>
  <c r="K74" i="2" s="1"/>
  <c r="E54" i="2"/>
  <c r="W47" i="2"/>
  <c r="Q47" i="2"/>
  <c r="K47" i="2"/>
  <c r="E47" i="2"/>
  <c r="W46" i="2"/>
  <c r="Q46" i="2"/>
  <c r="K46" i="2"/>
  <c r="E46" i="2"/>
  <c r="W45" i="2"/>
  <c r="Q45" i="2"/>
  <c r="K45" i="2"/>
  <c r="E45" i="2"/>
  <c r="W44" i="2"/>
  <c r="Q44" i="2"/>
  <c r="K44" i="2"/>
  <c r="E44" i="2"/>
  <c r="W43" i="2"/>
  <c r="Q43" i="2"/>
  <c r="K43" i="2"/>
  <c r="E43" i="2"/>
  <c r="W42" i="2"/>
  <c r="Q42" i="2"/>
  <c r="K42" i="2"/>
  <c r="E42" i="2"/>
  <c r="W41" i="2"/>
  <c r="Q41" i="2"/>
  <c r="K41" i="2"/>
  <c r="E41" i="2"/>
  <c r="W40" i="2"/>
  <c r="Q40" i="2"/>
  <c r="K40" i="2"/>
  <c r="E40" i="2"/>
  <c r="W39" i="2"/>
  <c r="W48" i="2" s="1"/>
  <c r="Q39" i="2"/>
  <c r="Q48" i="2" s="1"/>
  <c r="K39" i="2"/>
  <c r="K48" i="2" s="1"/>
  <c r="E39" i="2"/>
  <c r="E48" i="2" s="1"/>
  <c r="Q36" i="5"/>
  <c r="I36" i="5"/>
  <c r="K36" i="5" s="1"/>
  <c r="E36" i="5"/>
  <c r="K35" i="5"/>
  <c r="E35" i="5"/>
  <c r="Q34" i="5"/>
  <c r="K34" i="5"/>
  <c r="E34" i="5"/>
  <c r="Q33" i="5"/>
  <c r="K33" i="5"/>
  <c r="E33" i="5"/>
  <c r="Q32" i="5"/>
  <c r="K32" i="5"/>
  <c r="E32" i="5"/>
  <c r="Q31" i="5"/>
  <c r="K31" i="5"/>
  <c r="E31" i="5"/>
  <c r="Q30" i="5"/>
  <c r="K30" i="5"/>
  <c r="E30" i="5"/>
  <c r="Q29" i="5"/>
  <c r="K29" i="5"/>
  <c r="E29" i="5"/>
  <c r="Q28" i="5"/>
  <c r="K28" i="5"/>
  <c r="E28" i="5"/>
  <c r="Q27" i="5"/>
  <c r="K27" i="5"/>
  <c r="E27" i="5"/>
  <c r="Q26" i="5"/>
  <c r="K26" i="5"/>
  <c r="E26" i="5"/>
  <c r="W27" i="3"/>
  <c r="Q27" i="3"/>
  <c r="K27" i="3"/>
  <c r="E27" i="3"/>
  <c r="W26" i="3"/>
  <c r="Q26" i="3"/>
  <c r="K26" i="3"/>
  <c r="E26" i="3"/>
  <c r="W25" i="3"/>
  <c r="P25" i="3"/>
  <c r="O25" i="3"/>
  <c r="K25" i="3"/>
  <c r="E25" i="3"/>
  <c r="W24" i="3"/>
  <c r="Q24" i="3"/>
  <c r="K24" i="3"/>
  <c r="E24" i="3"/>
  <c r="W23" i="3"/>
  <c r="O23" i="3"/>
  <c r="Q23" i="3" s="1"/>
  <c r="K23" i="3"/>
  <c r="E23" i="3"/>
  <c r="W22" i="3"/>
  <c r="O22" i="3"/>
  <c r="Q22" i="3" s="1"/>
  <c r="K22" i="3"/>
  <c r="E22" i="3"/>
  <c r="W21" i="3"/>
  <c r="Q21" i="3"/>
  <c r="K21" i="3"/>
  <c r="E21" i="3"/>
  <c r="Q19" i="5"/>
  <c r="K19" i="5"/>
  <c r="E19" i="5"/>
  <c r="Q18" i="5"/>
  <c r="K18" i="5"/>
  <c r="E18" i="5"/>
  <c r="Q17" i="5"/>
  <c r="K17" i="5"/>
  <c r="E17" i="5"/>
  <c r="Q16" i="5"/>
  <c r="K16" i="5"/>
  <c r="E16" i="5"/>
  <c r="Q15" i="5"/>
  <c r="K15" i="5"/>
  <c r="E15" i="5"/>
  <c r="W14" i="3"/>
  <c r="Q14" i="3"/>
  <c r="K14" i="3"/>
  <c r="E14" i="3"/>
  <c r="W13" i="3"/>
  <c r="W15" i="3" s="1"/>
  <c r="Q13" i="3"/>
  <c r="Q15" i="3" s="1"/>
  <c r="K13" i="3"/>
  <c r="K15" i="3" s="1"/>
  <c r="E13" i="3"/>
  <c r="E15" i="3" s="1"/>
  <c r="W32" i="2"/>
  <c r="Q32" i="2"/>
  <c r="K32" i="2"/>
  <c r="E32" i="2"/>
  <c r="W31" i="2"/>
  <c r="Q31" i="2"/>
  <c r="K31" i="2"/>
  <c r="E31" i="2"/>
  <c r="W30" i="2"/>
  <c r="Q30" i="2"/>
  <c r="K30" i="2"/>
  <c r="E30" i="2"/>
  <c r="W29" i="2"/>
  <c r="Q29" i="2"/>
  <c r="K29" i="2"/>
  <c r="E29" i="2"/>
  <c r="W28" i="2"/>
  <c r="Q28" i="2"/>
  <c r="K28" i="2"/>
  <c r="E28" i="2"/>
  <c r="W27" i="2"/>
  <c r="Q27" i="2"/>
  <c r="K27" i="2"/>
  <c r="E27" i="2"/>
  <c r="W26" i="2"/>
  <c r="Q26" i="2"/>
  <c r="K26" i="2"/>
  <c r="E26" i="2"/>
  <c r="U25" i="2"/>
  <c r="W25" i="2" s="1"/>
  <c r="W33" i="2" s="1"/>
  <c r="Q25" i="2"/>
  <c r="Q33" i="2" s="1"/>
  <c r="K25" i="2"/>
  <c r="E25" i="2"/>
  <c r="O6" i="3"/>
  <c r="U7" i="2"/>
  <c r="D15" i="2"/>
  <c r="C15" i="2"/>
  <c r="C11" i="2"/>
  <c r="D9" i="2"/>
  <c r="C9" i="2"/>
  <c r="I6" i="5"/>
  <c r="Q5" i="2"/>
  <c r="K120" i="5" l="1"/>
  <c r="E20" i="8"/>
  <c r="K20" i="8"/>
  <c r="K86" i="5"/>
  <c r="Q86" i="5"/>
  <c r="Q58" i="5"/>
  <c r="Q37" i="5"/>
  <c r="E58" i="5"/>
  <c r="Q20" i="5"/>
  <c r="E37" i="5"/>
  <c r="K28" i="3"/>
  <c r="Q25" i="3"/>
  <c r="Q39" i="3"/>
  <c r="E39" i="3"/>
  <c r="K39" i="3"/>
  <c r="W95" i="2"/>
  <c r="K33" i="2"/>
  <c r="E69" i="2"/>
  <c r="E60" i="2"/>
  <c r="E74" i="2" s="1"/>
  <c r="Q74" i="2"/>
  <c r="W74" i="2"/>
  <c r="E95" i="2"/>
  <c r="K95" i="2"/>
  <c r="K58" i="5"/>
  <c r="K37" i="5"/>
  <c r="W28" i="3"/>
  <c r="E28" i="3"/>
  <c r="Q28" i="3"/>
  <c r="E20" i="5"/>
  <c r="K20" i="5"/>
  <c r="E33" i="2"/>
  <c r="E5" i="2"/>
  <c r="Q10" i="2"/>
  <c r="Q9" i="2"/>
  <c r="Q8" i="2"/>
  <c r="Q7" i="2"/>
  <c r="K6" i="2"/>
  <c r="K5" i="2"/>
  <c r="E14" i="2"/>
  <c r="E13" i="2"/>
  <c r="E12" i="2"/>
  <c r="E11" i="2"/>
  <c r="E10" i="2"/>
  <c r="E9" i="2"/>
  <c r="E8" i="2"/>
  <c r="E7" i="2"/>
  <c r="E6" i="2"/>
  <c r="Q18" i="2"/>
  <c r="Q17" i="2"/>
  <c r="Q16" i="2"/>
  <c r="Q15" i="2"/>
  <c r="Q14" i="2"/>
  <c r="Q13" i="2"/>
  <c r="W18" i="2" l="1"/>
  <c r="W17" i="2"/>
  <c r="W16" i="2"/>
  <c r="W15" i="2"/>
  <c r="W14" i="2"/>
  <c r="W12" i="2" l="1"/>
  <c r="W13" i="2"/>
  <c r="Q6" i="8" l="1"/>
  <c r="K6" i="8"/>
  <c r="E6" i="8"/>
  <c r="Q5" i="8"/>
  <c r="Q7" i="8" s="1"/>
  <c r="K5" i="8"/>
  <c r="E5" i="8"/>
  <c r="W6" i="3"/>
  <c r="W5" i="3"/>
  <c r="W11" i="2"/>
  <c r="W10" i="2"/>
  <c r="W9" i="2"/>
  <c r="W8" i="2"/>
  <c r="W7" i="2"/>
  <c r="W6" i="2"/>
  <c r="W5" i="2"/>
  <c r="E7" i="8" l="1"/>
  <c r="N2" i="7" s="1"/>
  <c r="W19" i="2"/>
  <c r="B5" i="7" s="1"/>
  <c r="W7" i="3"/>
  <c r="E5" i="7" s="1"/>
  <c r="K7" i="8"/>
  <c r="N3" i="7" s="1"/>
  <c r="Q12" i="2"/>
  <c r="Q11" i="2"/>
  <c r="K18" i="2" l="1"/>
  <c r="K17" i="2"/>
  <c r="K16" i="2"/>
  <c r="K15" i="2"/>
  <c r="K14" i="2"/>
  <c r="K13" i="2"/>
  <c r="K12" i="2"/>
  <c r="K11" i="2"/>
  <c r="K10" i="2"/>
  <c r="K9" i="2"/>
  <c r="K8" i="2"/>
  <c r="K7" i="2"/>
  <c r="Q6" i="2"/>
  <c r="E18" i="2" l="1"/>
  <c r="E17" i="2"/>
  <c r="E16" i="2"/>
  <c r="E15" i="2"/>
  <c r="K6" i="3" l="1"/>
  <c r="E6" i="3" l="1"/>
  <c r="E5" i="5" l="1"/>
  <c r="E6" i="5"/>
  <c r="E7" i="5"/>
  <c r="E8" i="5"/>
  <c r="E5" i="6"/>
  <c r="E6" i="6"/>
  <c r="E7" i="6"/>
  <c r="E8" i="6" l="1"/>
  <c r="E9" i="5"/>
  <c r="K5" i="5"/>
  <c r="K6" i="5"/>
  <c r="K7" i="5"/>
  <c r="K8" i="5"/>
  <c r="K9" i="5" l="1"/>
  <c r="E19" i="2" l="1"/>
  <c r="K6" i="6"/>
  <c r="Q5" i="6" l="1"/>
  <c r="Q6" i="6"/>
  <c r="Q7" i="6"/>
  <c r="Q5" i="5"/>
  <c r="Q6" i="5"/>
  <c r="Q7" i="5"/>
  <c r="Q8" i="5"/>
  <c r="Q5" i="3"/>
  <c r="Q6" i="3"/>
  <c r="K5" i="3"/>
  <c r="K7" i="3" s="1"/>
  <c r="K5" i="6"/>
  <c r="Q8" i="6" l="1"/>
  <c r="E3" i="7"/>
  <c r="K19" i="2"/>
  <c r="Q9" i="5"/>
  <c r="Q7" i="3"/>
  <c r="E4" i="7" l="1"/>
  <c r="E5" i="3"/>
  <c r="E7" i="3" s="1"/>
  <c r="E2" i="7" l="1"/>
  <c r="K7" i="6" l="1"/>
  <c r="K8" i="6" l="1"/>
  <c r="K3" i="7" s="1"/>
  <c r="K2" i="7"/>
  <c r="H3" i="7"/>
  <c r="H4" i="7"/>
  <c r="Q3" i="7" l="1"/>
  <c r="W2" i="7"/>
  <c r="Q19" i="2"/>
  <c r="B4" i="7" s="1"/>
  <c r="B2" i="7"/>
  <c r="T3" i="7" s="1"/>
  <c r="K4" i="7"/>
  <c r="B3" i="7"/>
  <c r="W3" i="7" l="1"/>
  <c r="H2" i="7"/>
  <c r="Q2" i="7" s="1"/>
  <c r="T2" i="7" l="1"/>
</calcChain>
</file>

<file path=xl/sharedStrings.xml><?xml version="1.0" encoding="utf-8"?>
<sst xmlns="http://schemas.openxmlformats.org/spreadsheetml/2006/main" count="663" uniqueCount="149">
  <si>
    <t>Tgl</t>
  </si>
  <si>
    <t>Canggu-Sayan</t>
  </si>
  <si>
    <t>Harga</t>
  </si>
  <si>
    <t>Total</t>
  </si>
  <si>
    <t>Qty</t>
  </si>
  <si>
    <t>Sayan-Canggu</t>
  </si>
  <si>
    <t>Samplangan-Pejeng</t>
  </si>
  <si>
    <t>Samplangan-Sayan</t>
  </si>
  <si>
    <t>Samplangan-Canggu</t>
  </si>
  <si>
    <t>Pejeng-Canggu</t>
  </si>
  <si>
    <t>Pejeng-Sayan</t>
  </si>
  <si>
    <t>Pejeng-Samplangan</t>
  </si>
  <si>
    <t>Sayan-Pejeng</t>
  </si>
  <si>
    <t>Canggu-Pejeng</t>
  </si>
  <si>
    <t>Canggu-Samplangan</t>
  </si>
  <si>
    <t>Sayan-Samplangan</t>
  </si>
  <si>
    <t>Canggu</t>
  </si>
  <si>
    <t>Sayan</t>
  </si>
  <si>
    <t>Pejeng</t>
  </si>
  <si>
    <t>Samplangan</t>
  </si>
  <si>
    <t>Canggu-Teges</t>
  </si>
  <si>
    <t>Sayan-Teges</t>
  </si>
  <si>
    <t>Teges-Canggu</t>
  </si>
  <si>
    <t>Teges-Sayan</t>
  </si>
  <si>
    <t>Teges</t>
  </si>
  <si>
    <t>Ulit</t>
  </si>
  <si>
    <t>Candi 20x30x2</t>
  </si>
  <si>
    <t>Andesit 30x60x3</t>
  </si>
  <si>
    <t>Putih super 20x40x2</t>
  </si>
  <si>
    <t>andesit 20x40x1,5 bakar</t>
  </si>
  <si>
    <t>andesit 20x40x5 bakar</t>
  </si>
  <si>
    <t>andesit 30x60x5 bakar</t>
  </si>
  <si>
    <t>marmo palem 20x40</t>
  </si>
  <si>
    <t>paras cream 20x40x5</t>
  </si>
  <si>
    <t>Andesit 20x40x1,5 Bakar</t>
  </si>
  <si>
    <t>candi 30x40x3</t>
  </si>
  <si>
    <t>Rts candi 20x40x3</t>
  </si>
  <si>
    <t>andesit 40x40x1,5 bakar</t>
  </si>
  <si>
    <t>candi 30x30x5</t>
  </si>
  <si>
    <t>candi 30x60x2</t>
  </si>
  <si>
    <t>Andesit 30x60x1,5 bakar</t>
  </si>
  <si>
    <t>Candi 30x60x5</t>
  </si>
  <si>
    <t>Andesit 20x40x1,5 bakar</t>
  </si>
  <si>
    <t>Green sukabumi 10x10</t>
  </si>
  <si>
    <t>Green sukabumi 10x20 ekspor</t>
  </si>
  <si>
    <t>candi 40x40x5</t>
  </si>
  <si>
    <t>Batu Kolam Putih ( Tumble )</t>
  </si>
  <si>
    <t>green sukabumi 10x20 ekspor</t>
  </si>
  <si>
    <t>Putih tulang 30x60x5</t>
  </si>
  <si>
    <t>FEBRUARI 2025</t>
  </si>
  <si>
    <t>candi 30x40x5</t>
  </si>
  <si>
    <t>putih tulang 40x40x2</t>
  </si>
  <si>
    <t>MARET 2025</t>
  </si>
  <si>
    <t>Sisa utang</t>
  </si>
  <si>
    <t>green sukabumi 20x20 ekspor</t>
  </si>
  <si>
    <t>Putih tulang 30x30x5</t>
  </si>
  <si>
    <t>putih tulang 20x40x3</t>
  </si>
  <si>
    <t>Green sukabumi 15x15</t>
  </si>
  <si>
    <t>putih tulang 40x40x3</t>
  </si>
  <si>
    <t>andesit tulungagung 20x40x2</t>
  </si>
  <si>
    <t>Putih tulang 20x40x2</t>
  </si>
  <si>
    <t>candi 40x40x3</t>
  </si>
  <si>
    <t>Putih super 30x60x5</t>
  </si>
  <si>
    <t>stik andesit 3x40</t>
  </si>
  <si>
    <t>Sisa Hutang</t>
  </si>
  <si>
    <t>pae 2 bali green</t>
  </si>
  <si>
    <t>pae 2 candi</t>
  </si>
  <si>
    <t>templek jember kasar</t>
  </si>
  <si>
    <t>andesit 40x40x3 bakar</t>
  </si>
  <si>
    <t>andesit 30x40x5 bakar</t>
  </si>
  <si>
    <t>bali green 20x40x5</t>
  </si>
  <si>
    <t>andesit 20x40x3 bakar</t>
  </si>
  <si>
    <t>ganggong 5x5 andesit</t>
  </si>
  <si>
    <t>green sukabumi 15x15</t>
  </si>
  <si>
    <t>green sukabumi 10x20</t>
  </si>
  <si>
    <t>Coating Protex One Natural Gloss</t>
  </si>
  <si>
    <t>palem  20x40x2</t>
  </si>
  <si>
    <t>bali green 20x40x2</t>
  </si>
  <si>
    <t>andesit 30x40x1,5 bakar</t>
  </si>
  <si>
    <t>RTS Candi 20x40x3</t>
  </si>
  <si>
    <t>Ganggong 5x5 andesit</t>
  </si>
  <si>
    <t>Marmo  Putih Tulang</t>
  </si>
  <si>
    <t>green sukabumi 20x20</t>
  </si>
  <si>
    <t>stik andesit 5x40</t>
  </si>
  <si>
    <t>stik palem 5 x 40</t>
  </si>
  <si>
    <t>Batu Kolam Putih ( Tumble Dus )</t>
  </si>
  <si>
    <t>templek jember</t>
  </si>
  <si>
    <t>andesit 30x60x3 bakar</t>
  </si>
  <si>
    <t>Limestone</t>
  </si>
  <si>
    <t>batu koral putih m</t>
  </si>
  <si>
    <t>paras tulungagung 20x40x2</t>
  </si>
  <si>
    <t>Andesit 10x10x3 RTA ( Cobal )</t>
  </si>
  <si>
    <t>andesit 30x60x1,5 bakar</t>
  </si>
  <si>
    <t>MEI 2025</t>
  </si>
  <si>
    <t>putih tulang 20x40x2</t>
  </si>
  <si>
    <t>candi 30x60x5</t>
  </si>
  <si>
    <t>candi 20x40x2</t>
  </si>
  <si>
    <t>candi 30x30x3</t>
  </si>
  <si>
    <t>marmo trotol</t>
  </si>
  <si>
    <t>putih super 20x40x2</t>
  </si>
  <si>
    <t>andesit 30x40x3 bakar</t>
  </si>
  <si>
    <t>andesit 30x30x1,5 bakar</t>
  </si>
  <si>
    <t>andesit 30x30x3 bakar</t>
  </si>
  <si>
    <t>Green sukabumi 15x15 ekspor</t>
  </si>
  <si>
    <t>Green sukabumi 20x20</t>
  </si>
  <si>
    <t>Putih Super 30x60x3</t>
  </si>
  <si>
    <t>Putih tulang 30x60x3</t>
  </si>
  <si>
    <t>andesit 20x20x1,5 bakar</t>
  </si>
  <si>
    <t>andesit 10x10x1,5 bakar</t>
  </si>
  <si>
    <t>andesit 20x30x3 bakar</t>
  </si>
  <si>
    <t>candi 30x30x2</t>
  </si>
  <si>
    <t>paras tulungagung 20x40x5</t>
  </si>
  <si>
    <t>JUNI &amp; JULI  2025</t>
  </si>
  <si>
    <t>Candi 30x30x5</t>
  </si>
  <si>
    <t>lis bunga kecil</t>
  </si>
  <si>
    <t>JUNI &amp; JULI 2025</t>
  </si>
  <si>
    <t>andesit 40x60x3 bakar</t>
  </si>
  <si>
    <t>pae 1 putih tulang</t>
  </si>
  <si>
    <t>pae 2 putih tulang</t>
  </si>
  <si>
    <t>andesit 40x60x1,5 bakar</t>
  </si>
  <si>
    <t>andesit 60x60x1,5 bakar</t>
  </si>
  <si>
    <t>putih tulang 30x60x5</t>
  </si>
  <si>
    <t>Green Sukabumi 10x10 (kolam )</t>
  </si>
  <si>
    <t>andesit 30x30x5 bakar</t>
  </si>
  <si>
    <t>Green sukabumi 10x20</t>
  </si>
  <si>
    <t>green sukabumi 10x10 ekspor</t>
  </si>
  <si>
    <t>11/7/20205</t>
  </si>
  <si>
    <t>Paras Tulungagung 20x40x5</t>
  </si>
  <si>
    <t>Candi 30x40x3</t>
  </si>
  <si>
    <t>Pacito Roso 20x40x2</t>
  </si>
  <si>
    <t>Putih tulang 20x40x3</t>
  </si>
  <si>
    <t>Setapak batu kali</t>
  </si>
  <si>
    <t>Stik Andesit 3x30</t>
  </si>
  <si>
    <t>marmo hitam</t>
  </si>
  <si>
    <t>Batu Koral Hitam Sumbawa / Doff</t>
  </si>
  <si>
    <t>candi 20x40x3</t>
  </si>
  <si>
    <t>AGUSTUS &amp; SEPTEMBER 2025</t>
  </si>
  <si>
    <t>Green sukabumi 20x20 ekspor</t>
  </si>
  <si>
    <t>Paras tulungagung 20x40x2</t>
  </si>
  <si>
    <t>pae 2 putih tulang ( SINAR )</t>
  </si>
  <si>
    <t>andesit 20x40x1,5 bakar ( PUTRA )</t>
  </si>
  <si>
    <t>andesit 30x60x5 bakar ( LEO )</t>
  </si>
  <si>
    <t>andesit 20x30x1,5 bakar ( LEO )</t>
  </si>
  <si>
    <t>andesit 30x60x5 bakar ( TEGES )</t>
  </si>
  <si>
    <t>andesit 30x30x5 bakar ( TEGES )</t>
  </si>
  <si>
    <t>andesit 30x40x5 bakar ( LEO )</t>
  </si>
  <si>
    <t>Green Sukabumi 10x20 ekspor ( LEO )</t>
  </si>
  <si>
    <t>andesit 30x30x5 bakar ( LEO )</t>
  </si>
  <si>
    <t>marmo trotol ( LEO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</si>
</sst>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41" fontId="1" fillId="0" borderId="1" xfId="1" applyFont="1" applyBorder="1"/>
    <xf numFmtId="41" fontId="1" fillId="0" borderId="0" xfId="1" applyFont="1"/>
    <xf numFmtId="41" fontId="1" fillId="0" borderId="0" xfId="0" applyNumberFormat="1" applyFont="1"/>
    <xf numFmtId="0" fontId="5" fillId="3" borderId="0" xfId="0" applyFont="1" applyFill="1"/>
    <xf numFmtId="0" fontId="1" fillId="3" borderId="0" xfId="0" applyFont="1" applyFill="1"/>
    <xf numFmtId="41" fontId="1" fillId="0" borderId="1" xfId="1" applyFont="1" applyFill="1" applyBorder="1"/>
    <xf numFmtId="0" fontId="1" fillId="0" borderId="1" xfId="0" applyFont="1" applyBorder="1" applyProtection="1">
      <protection locked="0"/>
    </xf>
    <xf numFmtId="164" fontId="1" fillId="0" borderId="1" xfId="1" applyNumberFormat="1" applyFont="1" applyBorder="1" applyProtection="1">
      <protection locked="0"/>
    </xf>
    <xf numFmtId="165" fontId="1" fillId="0" borderId="1" xfId="2" applyNumberFormat="1" applyFont="1" applyBorder="1" applyProtection="1">
      <protection locked="0"/>
    </xf>
    <xf numFmtId="14" fontId="1" fillId="0" borderId="1" xfId="0" applyNumberFormat="1" applyFont="1" applyBorder="1" applyProtection="1">
      <protection locked="0"/>
    </xf>
    <xf numFmtId="164" fontId="1" fillId="0" borderId="0" xfId="1" applyNumberFormat="1" applyFont="1"/>
    <xf numFmtId="14" fontId="1" fillId="0" borderId="0" xfId="0" applyNumberFormat="1" applyFont="1"/>
    <xf numFmtId="0" fontId="7" fillId="0" borderId="0" xfId="0" applyFont="1"/>
    <xf numFmtId="14" fontId="7" fillId="0" borderId="1" xfId="0" applyNumberFormat="1" applyFont="1" applyBorder="1" applyProtection="1">
      <protection locked="0"/>
    </xf>
    <xf numFmtId="0" fontId="7" fillId="0" borderId="1" xfId="0" applyFont="1" applyBorder="1" applyProtection="1">
      <protection locked="0"/>
    </xf>
    <xf numFmtId="164" fontId="7" fillId="0" borderId="1" xfId="1" applyNumberFormat="1" applyFont="1" applyBorder="1" applyProtection="1">
      <protection locked="0"/>
    </xf>
    <xf numFmtId="165" fontId="7" fillId="0" borderId="1" xfId="2" applyNumberFormat="1" applyFont="1" applyBorder="1" applyProtection="1">
      <protection locked="0"/>
    </xf>
    <xf numFmtId="41" fontId="7" fillId="0" borderId="1" xfId="1" applyFont="1" applyFill="1" applyBorder="1"/>
    <xf numFmtId="41" fontId="7" fillId="0" borderId="1" xfId="1" applyFont="1" applyBorder="1"/>
    <xf numFmtId="164" fontId="7" fillId="0" borderId="0" xfId="1" applyNumberFormat="1" applyFont="1"/>
    <xf numFmtId="41" fontId="7" fillId="0" borderId="0" xfId="1" applyFont="1"/>
    <xf numFmtId="14" fontId="7" fillId="0" borderId="1" xfId="0" applyNumberFormat="1" applyFont="1" applyBorder="1"/>
    <xf numFmtId="41" fontId="1" fillId="3" borderId="0" xfId="0" applyNumberFormat="1" applyFont="1" applyFill="1"/>
    <xf numFmtId="41" fontId="1" fillId="0" borderId="1" xfId="1" applyFont="1" applyBorder="1" applyProtection="1">
      <protection locked="0"/>
    </xf>
    <xf numFmtId="164" fontId="1" fillId="0" borderId="1" xfId="1" applyNumberFormat="1" applyFont="1" applyBorder="1"/>
    <xf numFmtId="2" fontId="7" fillId="0" borderId="1" xfId="0" applyNumberFormat="1" applyFont="1" applyBorder="1"/>
    <xf numFmtId="164" fontId="1" fillId="0" borderId="1" xfId="7" applyNumberFormat="1" applyFont="1" applyBorder="1" applyProtection="1">
      <protection locked="0"/>
    </xf>
    <xf numFmtId="164" fontId="1" fillId="0" borderId="0" xfId="1" applyNumberFormat="1" applyFont="1" applyBorder="1"/>
    <xf numFmtId="41" fontId="1" fillId="0" borderId="0" xfId="1" applyFont="1" applyBorder="1"/>
    <xf numFmtId="17" fontId="2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1" fontId="7" fillId="2" borderId="2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3" xfId="1" applyNumberFormat="1" applyFont="1" applyFill="1" applyBorder="1" applyAlignment="1">
      <alignment horizontal="center" vertical="center"/>
    </xf>
    <xf numFmtId="41" fontId="1" fillId="2" borderId="2" xfId="1" applyFont="1" applyFill="1" applyBorder="1" applyAlignment="1">
      <alignment horizontal="center" vertical="center"/>
    </xf>
    <xf numFmtId="41" fontId="1" fillId="2" borderId="3" xfId="1" applyFont="1" applyFill="1" applyBorder="1" applyAlignment="1">
      <alignment horizontal="center" vertical="center"/>
    </xf>
    <xf numFmtId="0" fontId="7" fillId="0" borderId="1" xfId="0" applyFont="1" applyBorder="1"/>
  </cellXfs>
  <cellStyles count="8">
    <cellStyle name="Comma" xfId="2" builtinId="3"/>
    <cellStyle name="Comma [0]" xfId="1" builtinId="6"/>
    <cellStyle name="Comma [0] 2" xfId="4" xr:uid="{40F8CA70-6E7C-4B4F-9442-C791ED8EADBF}"/>
    <cellStyle name="Comma [0] 3" xfId="5" xr:uid="{343B2037-FCB8-4047-909B-503276432DAC}"/>
    <cellStyle name="Comma [0] 4" xfId="6" xr:uid="{4BEDE9A4-8435-4751-8FC6-861FEA8E93D2}"/>
    <cellStyle name="Comma [0] 5" xfId="7" xr:uid="{40C7AE6A-B289-476E-8436-71EA6AD9C32E}"/>
    <cellStyle name="Normal" xfId="0" builtinId="0"/>
    <cellStyle name="Normal 2" xfId="3" xr:uid="{E13D6F04-8B9F-4CB5-AB49-68B20FA0D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opLeftCell="B95" workbookViewId="0">
      <selection activeCell="A98" sqref="A98:W99"/>
    </sheetView>
  </sheetViews>
  <sheetFormatPr defaultColWidth="4.88671875" defaultRowHeight="10.199999999999999" x14ac:dyDescent="0.2"/>
  <cols>
    <col min="1" max="1" width="8.33203125" style="16" bestFit="1" customWidth="1"/>
    <col min="2" max="2" width="20.109375" style="16" bestFit="1" customWidth="1"/>
    <col min="3" max="3" width="8.21875" style="23" bestFit="1" customWidth="1"/>
    <col min="4" max="4" width="7" style="24" bestFit="1" customWidth="1"/>
    <col min="5" max="5" width="8.5546875" style="24" bestFit="1" customWidth="1"/>
    <col min="6" max="6" width="1.88671875" style="16" customWidth="1"/>
    <col min="7" max="7" width="8.109375" style="16" bestFit="1" customWidth="1"/>
    <col min="8" max="8" width="19.33203125" style="16" bestFit="1" customWidth="1"/>
    <col min="9" max="9" width="5.44140625" style="16" bestFit="1" customWidth="1"/>
    <col min="10" max="10" width="7.77734375" style="24" bestFit="1" customWidth="1"/>
    <col min="11" max="11" width="8.5546875" style="24" bestFit="1" customWidth="1"/>
    <col min="12" max="12" width="2" style="16" customWidth="1"/>
    <col min="13" max="13" width="8.33203125" style="16" bestFit="1" customWidth="1"/>
    <col min="14" max="14" width="19.44140625" style="16" bestFit="1" customWidth="1"/>
    <col min="15" max="15" width="6.21875" style="16" bestFit="1" customWidth="1"/>
    <col min="16" max="16" width="7" style="24" bestFit="1" customWidth="1"/>
    <col min="17" max="17" width="8.5546875" style="24" bestFit="1" customWidth="1"/>
    <col min="18" max="18" width="2" style="16" customWidth="1"/>
    <col min="19" max="19" width="8.109375" style="16" bestFit="1" customWidth="1"/>
    <col min="20" max="20" width="17.44140625" style="16" bestFit="1" customWidth="1"/>
    <col min="21" max="21" width="5.88671875" style="16" bestFit="1" customWidth="1"/>
    <col min="22" max="22" width="7" style="16" bestFit="1" customWidth="1"/>
    <col min="23" max="23" width="8.5546875" style="16" bestFit="1" customWidth="1"/>
    <col min="24" max="16384" width="4.88671875" style="16"/>
  </cols>
  <sheetData>
    <row r="1" spans="1:23" x14ac:dyDescent="0.2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x14ac:dyDescent="0.2">
      <c r="A3" s="34" t="s">
        <v>0</v>
      </c>
      <c r="B3" s="34" t="s">
        <v>1</v>
      </c>
      <c r="C3" s="38" t="s">
        <v>4</v>
      </c>
      <c r="D3" s="36" t="s">
        <v>2</v>
      </c>
      <c r="E3" s="36" t="s">
        <v>3</v>
      </c>
      <c r="G3" s="34" t="s">
        <v>0</v>
      </c>
      <c r="H3" s="34" t="s">
        <v>13</v>
      </c>
      <c r="I3" s="34" t="s">
        <v>4</v>
      </c>
      <c r="J3" s="36" t="s">
        <v>2</v>
      </c>
      <c r="K3" s="36" t="s">
        <v>3</v>
      </c>
      <c r="M3" s="34" t="s">
        <v>0</v>
      </c>
      <c r="N3" s="34" t="s">
        <v>14</v>
      </c>
      <c r="O3" s="34" t="s">
        <v>4</v>
      </c>
      <c r="P3" s="36" t="s">
        <v>2</v>
      </c>
      <c r="Q3" s="36" t="s">
        <v>3</v>
      </c>
      <c r="S3" s="34" t="s">
        <v>0</v>
      </c>
      <c r="T3" s="34" t="s">
        <v>20</v>
      </c>
      <c r="U3" s="34" t="s">
        <v>4</v>
      </c>
      <c r="V3" s="36" t="s">
        <v>2</v>
      </c>
      <c r="W3" s="36" t="s">
        <v>3</v>
      </c>
    </row>
    <row r="4" spans="1:23" x14ac:dyDescent="0.2">
      <c r="A4" s="35"/>
      <c r="B4" s="35"/>
      <c r="C4" s="39"/>
      <c r="D4" s="37"/>
      <c r="E4" s="37"/>
      <c r="G4" s="35"/>
      <c r="H4" s="35"/>
      <c r="I4" s="35"/>
      <c r="J4" s="37"/>
      <c r="K4" s="37"/>
      <c r="M4" s="35"/>
      <c r="N4" s="35"/>
      <c r="O4" s="35"/>
      <c r="P4" s="37"/>
      <c r="Q4" s="37"/>
      <c r="S4" s="35"/>
      <c r="T4" s="35"/>
      <c r="U4" s="35"/>
      <c r="V4" s="37"/>
      <c r="W4" s="37"/>
    </row>
    <row r="5" spans="1:23" ht="12" x14ac:dyDescent="0.25">
      <c r="A5" s="17">
        <v>45695</v>
      </c>
      <c r="B5" s="10" t="s">
        <v>29</v>
      </c>
      <c r="C5" s="11">
        <v>27</v>
      </c>
      <c r="D5" s="12">
        <v>118000</v>
      </c>
      <c r="E5" s="21">
        <f t="shared" ref="E5:E14" si="0">C5*D5</f>
        <v>3186000</v>
      </c>
      <c r="G5" s="17">
        <v>45700</v>
      </c>
      <c r="H5" s="10" t="s">
        <v>34</v>
      </c>
      <c r="I5" s="19">
        <v>27</v>
      </c>
      <c r="J5" s="20">
        <v>118000</v>
      </c>
      <c r="K5" s="22">
        <f t="shared" ref="K5:K6" si="1">I5*J5</f>
        <v>3186000</v>
      </c>
      <c r="M5" s="17"/>
      <c r="N5" s="10"/>
      <c r="O5" s="11"/>
      <c r="P5" s="12"/>
      <c r="Q5" s="22">
        <f t="shared" ref="Q5:Q18" si="2">O5*P5</f>
        <v>0</v>
      </c>
      <c r="S5" s="17">
        <v>45694</v>
      </c>
      <c r="T5" s="18" t="s">
        <v>40</v>
      </c>
      <c r="U5" s="19">
        <v>24</v>
      </c>
      <c r="V5" s="22">
        <v>140000</v>
      </c>
      <c r="W5" s="22">
        <f t="shared" ref="W5:W18" si="3">U5*V5</f>
        <v>3360000</v>
      </c>
    </row>
    <row r="6" spans="1:23" ht="12" x14ac:dyDescent="0.25">
      <c r="A6" s="17">
        <v>45695</v>
      </c>
      <c r="B6" s="10" t="s">
        <v>30</v>
      </c>
      <c r="C6" s="11">
        <v>7</v>
      </c>
      <c r="D6" s="12">
        <v>350000</v>
      </c>
      <c r="E6" s="21">
        <f t="shared" si="0"/>
        <v>2450000</v>
      </c>
      <c r="G6" s="17">
        <v>45714</v>
      </c>
      <c r="H6" s="10" t="s">
        <v>34</v>
      </c>
      <c r="I6" s="19">
        <v>25</v>
      </c>
      <c r="J6" s="20">
        <v>118000</v>
      </c>
      <c r="K6" s="22">
        <f t="shared" si="1"/>
        <v>2950000</v>
      </c>
      <c r="M6" s="17">
        <v>45697</v>
      </c>
      <c r="N6" s="10" t="s">
        <v>28</v>
      </c>
      <c r="O6" s="11">
        <v>40</v>
      </c>
      <c r="P6" s="12">
        <v>140000</v>
      </c>
      <c r="Q6" s="22">
        <f t="shared" si="2"/>
        <v>5600000</v>
      </c>
      <c r="S6" s="17">
        <v>45692</v>
      </c>
      <c r="T6" s="10" t="s">
        <v>42</v>
      </c>
      <c r="U6" s="11">
        <v>50</v>
      </c>
      <c r="V6" s="20">
        <v>118000</v>
      </c>
      <c r="W6" s="22">
        <f t="shared" si="3"/>
        <v>5900000</v>
      </c>
    </row>
    <row r="7" spans="1:23" ht="12" x14ac:dyDescent="0.25">
      <c r="A7" s="17">
        <v>45697</v>
      </c>
      <c r="B7" s="10" t="s">
        <v>32</v>
      </c>
      <c r="C7" s="11">
        <v>5</v>
      </c>
      <c r="D7" s="12">
        <v>105000</v>
      </c>
      <c r="E7" s="21">
        <f t="shared" si="0"/>
        <v>525000</v>
      </c>
      <c r="G7" s="17"/>
      <c r="H7" s="18" t="s">
        <v>47</v>
      </c>
      <c r="I7" s="19">
        <v>22</v>
      </c>
      <c r="J7" s="20">
        <v>185000</v>
      </c>
      <c r="K7" s="22">
        <f t="shared" ref="K7:K18" si="4">I7*J7</f>
        <v>4070000</v>
      </c>
      <c r="M7" s="17"/>
      <c r="N7" s="10"/>
      <c r="O7" s="11">
        <v>1</v>
      </c>
      <c r="P7" s="12">
        <v>890000</v>
      </c>
      <c r="Q7" s="4">
        <f t="shared" si="2"/>
        <v>890000</v>
      </c>
      <c r="S7" s="17"/>
      <c r="T7" s="10" t="s">
        <v>45</v>
      </c>
      <c r="U7" s="19">
        <f>28/6</f>
        <v>4.666666666666667</v>
      </c>
      <c r="V7" s="20">
        <v>240000</v>
      </c>
      <c r="W7" s="22">
        <f t="shared" si="3"/>
        <v>1120000</v>
      </c>
    </row>
    <row r="8" spans="1:23" ht="12" x14ac:dyDescent="0.25">
      <c r="A8" s="17">
        <v>45699</v>
      </c>
      <c r="B8" s="10" t="s">
        <v>29</v>
      </c>
      <c r="C8" s="11">
        <v>25</v>
      </c>
      <c r="D8" s="12">
        <v>118000</v>
      </c>
      <c r="E8" s="21">
        <f t="shared" si="0"/>
        <v>2950000</v>
      </c>
      <c r="G8" s="17"/>
      <c r="H8" s="18" t="s">
        <v>47</v>
      </c>
      <c r="I8" s="19">
        <v>30</v>
      </c>
      <c r="J8" s="20">
        <v>185000</v>
      </c>
      <c r="K8" s="22">
        <f t="shared" si="4"/>
        <v>5550000</v>
      </c>
      <c r="M8" s="17"/>
      <c r="N8" s="10"/>
      <c r="O8" s="11">
        <v>1</v>
      </c>
      <c r="P8" s="12">
        <v>580000</v>
      </c>
      <c r="Q8" s="4">
        <f t="shared" si="2"/>
        <v>580000</v>
      </c>
      <c r="S8" s="17"/>
      <c r="T8" s="10"/>
      <c r="U8" s="19"/>
      <c r="V8" s="22"/>
      <c r="W8" s="22">
        <f t="shared" si="3"/>
        <v>0</v>
      </c>
    </row>
    <row r="9" spans="1:23" ht="12" x14ac:dyDescent="0.25">
      <c r="A9" s="17">
        <v>45699</v>
      </c>
      <c r="B9" s="10" t="s">
        <v>33</v>
      </c>
      <c r="C9" s="11">
        <f>50/12</f>
        <v>4.166666666666667</v>
      </c>
      <c r="D9" s="12">
        <f>16000*12</f>
        <v>192000</v>
      </c>
      <c r="E9" s="21">
        <f t="shared" si="0"/>
        <v>800000</v>
      </c>
      <c r="G9" s="17"/>
      <c r="H9" s="10"/>
      <c r="I9" s="19"/>
      <c r="J9" s="20"/>
      <c r="K9" s="22">
        <f t="shared" si="4"/>
        <v>0</v>
      </c>
      <c r="M9" s="3">
        <v>45702</v>
      </c>
      <c r="N9" s="10" t="s">
        <v>41</v>
      </c>
      <c r="O9" s="11">
        <v>2</v>
      </c>
      <c r="P9" s="12">
        <v>260000</v>
      </c>
      <c r="Q9" s="4">
        <f t="shared" si="2"/>
        <v>520000</v>
      </c>
      <c r="S9" s="17"/>
      <c r="T9" s="10"/>
      <c r="U9" s="19"/>
      <c r="V9" s="22"/>
      <c r="W9" s="22">
        <f t="shared" si="3"/>
        <v>0</v>
      </c>
    </row>
    <row r="10" spans="1:23" ht="12" x14ac:dyDescent="0.25">
      <c r="A10" s="17">
        <v>45701</v>
      </c>
      <c r="B10" s="10" t="s">
        <v>29</v>
      </c>
      <c r="C10" s="11">
        <v>30</v>
      </c>
      <c r="D10" s="12">
        <v>118000</v>
      </c>
      <c r="E10" s="21">
        <f t="shared" si="0"/>
        <v>3540000</v>
      </c>
      <c r="G10" s="17"/>
      <c r="H10" s="18"/>
      <c r="I10" s="19"/>
      <c r="J10" s="20"/>
      <c r="K10" s="22">
        <f t="shared" si="4"/>
        <v>0</v>
      </c>
      <c r="M10" s="3"/>
      <c r="N10" s="10"/>
      <c r="O10" s="11"/>
      <c r="P10" s="12"/>
      <c r="Q10" s="4">
        <f t="shared" si="2"/>
        <v>0</v>
      </c>
      <c r="S10" s="17"/>
      <c r="T10" s="10"/>
      <c r="U10" s="19"/>
      <c r="V10" s="22"/>
      <c r="W10" s="22">
        <f t="shared" si="3"/>
        <v>0</v>
      </c>
    </row>
    <row r="11" spans="1:23" ht="12" x14ac:dyDescent="0.25">
      <c r="A11" s="17">
        <v>45701</v>
      </c>
      <c r="B11" s="10" t="s">
        <v>35</v>
      </c>
      <c r="C11" s="11">
        <f>20/8</f>
        <v>2.5</v>
      </c>
      <c r="D11" s="12">
        <v>160000</v>
      </c>
      <c r="E11" s="21">
        <f t="shared" si="0"/>
        <v>400000</v>
      </c>
      <c r="G11" s="17"/>
      <c r="H11" s="18"/>
      <c r="I11" s="19"/>
      <c r="J11" s="20"/>
      <c r="K11" s="22">
        <f t="shared" si="4"/>
        <v>0</v>
      </c>
      <c r="M11" s="17"/>
      <c r="N11" s="10" t="s">
        <v>26</v>
      </c>
      <c r="O11" s="19">
        <v>3</v>
      </c>
      <c r="P11" s="22">
        <v>85000</v>
      </c>
      <c r="Q11" s="22">
        <f t="shared" si="2"/>
        <v>255000</v>
      </c>
      <c r="S11" s="17"/>
      <c r="T11" s="18"/>
      <c r="U11" s="19"/>
      <c r="V11" s="22"/>
      <c r="W11" s="22">
        <f t="shared" si="3"/>
        <v>0</v>
      </c>
    </row>
    <row r="12" spans="1:23" ht="12" x14ac:dyDescent="0.25">
      <c r="A12" s="17">
        <v>45703</v>
      </c>
      <c r="B12" s="10" t="s">
        <v>37</v>
      </c>
      <c r="C12" s="11">
        <v>3</v>
      </c>
      <c r="D12" s="12">
        <v>130000</v>
      </c>
      <c r="E12" s="21">
        <f t="shared" si="0"/>
        <v>390000</v>
      </c>
      <c r="G12" s="17"/>
      <c r="H12" s="18"/>
      <c r="I12" s="19"/>
      <c r="J12" s="22"/>
      <c r="K12" s="22">
        <f t="shared" si="4"/>
        <v>0</v>
      </c>
      <c r="M12" s="17"/>
      <c r="N12" s="18" t="s">
        <v>43</v>
      </c>
      <c r="O12" s="19">
        <v>200</v>
      </c>
      <c r="P12" s="12">
        <v>100000</v>
      </c>
      <c r="Q12" s="22">
        <f t="shared" si="2"/>
        <v>20000000</v>
      </c>
      <c r="S12" s="17"/>
      <c r="T12" s="10"/>
      <c r="U12" s="11"/>
      <c r="V12" s="12"/>
      <c r="W12" s="22">
        <f t="shared" si="3"/>
        <v>0</v>
      </c>
    </row>
    <row r="13" spans="1:23" ht="12" x14ac:dyDescent="0.25">
      <c r="A13" s="17">
        <v>45703</v>
      </c>
      <c r="B13" s="10" t="s">
        <v>31</v>
      </c>
      <c r="C13" s="11">
        <v>3</v>
      </c>
      <c r="D13" s="12">
        <v>360000</v>
      </c>
      <c r="E13" s="21">
        <f t="shared" si="0"/>
        <v>1080000</v>
      </c>
      <c r="G13" s="17"/>
      <c r="H13" s="18"/>
      <c r="I13" s="19"/>
      <c r="J13" s="22"/>
      <c r="K13" s="22">
        <f t="shared" si="4"/>
        <v>0</v>
      </c>
      <c r="M13" s="17"/>
      <c r="N13" s="18" t="s">
        <v>44</v>
      </c>
      <c r="O13" s="19">
        <v>45</v>
      </c>
      <c r="P13" s="22">
        <v>185000</v>
      </c>
      <c r="Q13" s="22">
        <f t="shared" si="2"/>
        <v>8325000</v>
      </c>
      <c r="S13" s="17"/>
      <c r="T13" s="10"/>
      <c r="U13" s="11"/>
      <c r="V13" s="12"/>
      <c r="W13" s="22">
        <f t="shared" si="3"/>
        <v>0</v>
      </c>
    </row>
    <row r="14" spans="1:23" ht="12" x14ac:dyDescent="0.25">
      <c r="A14" s="17">
        <v>45705</v>
      </c>
      <c r="B14" s="10" t="s">
        <v>32</v>
      </c>
      <c r="C14" s="11">
        <v>10</v>
      </c>
      <c r="D14" s="12">
        <v>105000</v>
      </c>
      <c r="E14" s="21">
        <f t="shared" si="0"/>
        <v>1050000</v>
      </c>
      <c r="G14" s="17"/>
      <c r="H14" s="18"/>
      <c r="I14" s="19"/>
      <c r="J14" s="20"/>
      <c r="K14" s="22">
        <f t="shared" si="4"/>
        <v>0</v>
      </c>
      <c r="M14" s="17">
        <v>45715</v>
      </c>
      <c r="N14" s="18" t="s">
        <v>28</v>
      </c>
      <c r="O14" s="19">
        <v>20</v>
      </c>
      <c r="P14" s="22">
        <v>140000</v>
      </c>
      <c r="Q14" s="22">
        <f t="shared" si="2"/>
        <v>2800000</v>
      </c>
      <c r="S14" s="17"/>
      <c r="T14" s="18"/>
      <c r="U14" s="19"/>
      <c r="V14" s="22"/>
      <c r="W14" s="22">
        <f t="shared" si="3"/>
        <v>0</v>
      </c>
    </row>
    <row r="15" spans="1:23" ht="12" x14ac:dyDescent="0.25">
      <c r="A15" s="17">
        <v>45705</v>
      </c>
      <c r="B15" s="10" t="s">
        <v>31</v>
      </c>
      <c r="C15" s="11">
        <f>15/5.5</f>
        <v>2.7272727272727271</v>
      </c>
      <c r="D15" s="12">
        <f>65000*5.5</f>
        <v>357500</v>
      </c>
      <c r="E15" s="21">
        <f t="shared" ref="E15:E18" si="5">C15*D15</f>
        <v>974999.99999999988</v>
      </c>
      <c r="G15" s="17"/>
      <c r="H15" s="18"/>
      <c r="I15" s="19"/>
      <c r="J15" s="22"/>
      <c r="K15" s="22">
        <f t="shared" si="4"/>
        <v>0</v>
      </c>
      <c r="M15" s="17"/>
      <c r="N15" s="18"/>
      <c r="O15" s="19"/>
      <c r="P15" s="22"/>
      <c r="Q15" s="22">
        <f t="shared" si="2"/>
        <v>0</v>
      </c>
      <c r="S15" s="17"/>
      <c r="T15" s="18"/>
      <c r="U15" s="19"/>
      <c r="V15" s="22"/>
      <c r="W15" s="22">
        <f t="shared" si="3"/>
        <v>0</v>
      </c>
    </row>
    <row r="16" spans="1:23" ht="12" x14ac:dyDescent="0.25">
      <c r="A16" s="17">
        <v>45711</v>
      </c>
      <c r="B16" s="10" t="s">
        <v>38</v>
      </c>
      <c r="C16" s="11">
        <v>8</v>
      </c>
      <c r="D16" s="12">
        <v>235000</v>
      </c>
      <c r="E16" s="21">
        <f t="shared" si="5"/>
        <v>1880000</v>
      </c>
      <c r="G16" s="17"/>
      <c r="H16" s="18"/>
      <c r="I16" s="19"/>
      <c r="J16" s="22"/>
      <c r="K16" s="22">
        <f t="shared" si="4"/>
        <v>0</v>
      </c>
      <c r="M16" s="17"/>
      <c r="N16" s="18"/>
      <c r="O16" s="19"/>
      <c r="P16" s="22"/>
      <c r="Q16" s="22">
        <f t="shared" si="2"/>
        <v>0</v>
      </c>
      <c r="S16" s="17"/>
      <c r="T16" s="18"/>
      <c r="U16" s="19"/>
      <c r="V16" s="22"/>
      <c r="W16" s="22">
        <f t="shared" si="3"/>
        <v>0</v>
      </c>
    </row>
    <row r="17" spans="1:23" ht="12" x14ac:dyDescent="0.25">
      <c r="A17" s="13">
        <v>45716</v>
      </c>
      <c r="B17" s="10" t="s">
        <v>46</v>
      </c>
      <c r="C17" s="11">
        <v>10</v>
      </c>
      <c r="D17" s="12">
        <v>155000</v>
      </c>
      <c r="E17" s="21">
        <f t="shared" si="5"/>
        <v>1550000</v>
      </c>
      <c r="G17" s="17"/>
      <c r="H17" s="18"/>
      <c r="I17" s="19"/>
      <c r="J17" s="22"/>
      <c r="K17" s="22">
        <f t="shared" si="4"/>
        <v>0</v>
      </c>
      <c r="M17" s="17"/>
      <c r="N17" s="18"/>
      <c r="O17" s="19"/>
      <c r="P17" s="22"/>
      <c r="Q17" s="22">
        <f t="shared" si="2"/>
        <v>0</v>
      </c>
      <c r="S17" s="17"/>
      <c r="T17" s="18"/>
      <c r="U17" s="19"/>
      <c r="V17" s="22"/>
      <c r="W17" s="22">
        <f t="shared" si="3"/>
        <v>0</v>
      </c>
    </row>
    <row r="18" spans="1:23" ht="12" x14ac:dyDescent="0.25">
      <c r="A18" s="13">
        <v>45716</v>
      </c>
      <c r="B18" s="10" t="s">
        <v>38</v>
      </c>
      <c r="C18" s="11">
        <v>10</v>
      </c>
      <c r="D18" s="12">
        <v>235000</v>
      </c>
      <c r="E18" s="21">
        <f t="shared" si="5"/>
        <v>2350000</v>
      </c>
      <c r="G18" s="17"/>
      <c r="H18" s="18"/>
      <c r="I18" s="19"/>
      <c r="J18" s="22"/>
      <c r="K18" s="22">
        <f t="shared" si="4"/>
        <v>0</v>
      </c>
      <c r="M18" s="17"/>
      <c r="N18" s="18"/>
      <c r="O18" s="19"/>
      <c r="P18" s="22"/>
      <c r="Q18" s="22">
        <f t="shared" si="2"/>
        <v>0</v>
      </c>
      <c r="S18" s="17"/>
      <c r="T18" s="18"/>
      <c r="U18" s="19"/>
      <c r="V18" s="22"/>
      <c r="W18" s="22">
        <f t="shared" si="3"/>
        <v>0</v>
      </c>
    </row>
    <row r="19" spans="1:23" x14ac:dyDescent="0.2">
      <c r="E19" s="24">
        <f>SUM(E5:E18)</f>
        <v>23126000</v>
      </c>
      <c r="K19" s="24">
        <f>SUM(K5:K18)</f>
        <v>15756000</v>
      </c>
      <c r="Q19" s="24">
        <f>SUM(Q5:Q18)</f>
        <v>38970000</v>
      </c>
      <c r="V19" s="24"/>
      <c r="W19" s="24">
        <f>SUM(W5:W18)</f>
        <v>10380000</v>
      </c>
    </row>
    <row r="21" spans="1:23" x14ac:dyDescent="0.2">
      <c r="A21" s="33" t="s">
        <v>52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spans="1:23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spans="1:23" x14ac:dyDescent="0.2">
      <c r="A23" s="34" t="s">
        <v>0</v>
      </c>
      <c r="B23" s="34" t="s">
        <v>1</v>
      </c>
      <c r="C23" s="38" t="s">
        <v>4</v>
      </c>
      <c r="D23" s="36" t="s">
        <v>2</v>
      </c>
      <c r="E23" s="36" t="s">
        <v>3</v>
      </c>
      <c r="G23" s="34" t="s">
        <v>0</v>
      </c>
      <c r="H23" s="34" t="s">
        <v>13</v>
      </c>
      <c r="I23" s="34" t="s">
        <v>4</v>
      </c>
      <c r="J23" s="36" t="s">
        <v>2</v>
      </c>
      <c r="K23" s="36" t="s">
        <v>3</v>
      </c>
      <c r="M23" s="34" t="s">
        <v>0</v>
      </c>
      <c r="N23" s="34" t="s">
        <v>14</v>
      </c>
      <c r="O23" s="34" t="s">
        <v>4</v>
      </c>
      <c r="P23" s="36" t="s">
        <v>2</v>
      </c>
      <c r="Q23" s="36" t="s">
        <v>3</v>
      </c>
      <c r="S23" s="34" t="s">
        <v>0</v>
      </c>
      <c r="T23" s="34" t="s">
        <v>20</v>
      </c>
      <c r="U23" s="34" t="s">
        <v>4</v>
      </c>
      <c r="V23" s="36" t="s">
        <v>2</v>
      </c>
      <c r="W23" s="36" t="s">
        <v>3</v>
      </c>
    </row>
    <row r="24" spans="1:23" x14ac:dyDescent="0.2">
      <c r="A24" s="35"/>
      <c r="B24" s="35"/>
      <c r="C24" s="39"/>
      <c r="D24" s="37"/>
      <c r="E24" s="37"/>
      <c r="G24" s="35"/>
      <c r="H24" s="35"/>
      <c r="I24" s="35"/>
      <c r="J24" s="37"/>
      <c r="K24" s="37"/>
      <c r="M24" s="35"/>
      <c r="N24" s="35"/>
      <c r="O24" s="35"/>
      <c r="P24" s="37"/>
      <c r="Q24" s="37"/>
      <c r="S24" s="35"/>
      <c r="T24" s="35"/>
      <c r="U24" s="35"/>
      <c r="V24" s="37"/>
      <c r="W24" s="37"/>
    </row>
    <row r="25" spans="1:23" ht="12" x14ac:dyDescent="0.25">
      <c r="A25" s="17">
        <v>45724</v>
      </c>
      <c r="B25" s="10" t="s">
        <v>29</v>
      </c>
      <c r="C25" s="11">
        <v>40</v>
      </c>
      <c r="D25" s="12">
        <v>118000</v>
      </c>
      <c r="E25" s="21">
        <f t="shared" ref="E25:E32" si="6">C25*D25</f>
        <v>4720000</v>
      </c>
      <c r="G25" s="17"/>
      <c r="H25" s="10"/>
      <c r="I25" s="19"/>
      <c r="J25" s="20"/>
      <c r="K25" s="22">
        <f t="shared" ref="K25:K32" si="7">I25*J25</f>
        <v>0</v>
      </c>
      <c r="M25" s="17"/>
      <c r="N25" s="10"/>
      <c r="O25" s="11"/>
      <c r="P25" s="12"/>
      <c r="Q25" s="22">
        <f t="shared" ref="Q25:Q32" si="8">O25*P25</f>
        <v>0</v>
      </c>
      <c r="S25" s="17">
        <v>45737</v>
      </c>
      <c r="T25" s="10" t="s">
        <v>45</v>
      </c>
      <c r="U25" s="11">
        <f>50/6</f>
        <v>8.3333333333333339</v>
      </c>
      <c r="V25" s="12">
        <v>240000</v>
      </c>
      <c r="W25" s="21">
        <f t="shared" ref="W25:W32" si="9">U25*V25</f>
        <v>2000000.0000000002</v>
      </c>
    </row>
    <row r="26" spans="1:23" ht="12" x14ac:dyDescent="0.25">
      <c r="A26" s="17">
        <v>45725</v>
      </c>
      <c r="B26" s="10" t="s">
        <v>38</v>
      </c>
      <c r="C26" s="11">
        <v>7</v>
      </c>
      <c r="D26" s="12">
        <v>235000</v>
      </c>
      <c r="E26" s="21">
        <f t="shared" si="6"/>
        <v>1645000</v>
      </c>
      <c r="G26" s="17"/>
      <c r="H26" s="10"/>
      <c r="I26" s="19"/>
      <c r="J26" s="20"/>
      <c r="K26" s="22">
        <f t="shared" si="7"/>
        <v>0</v>
      </c>
      <c r="M26" s="17"/>
      <c r="N26" s="10"/>
      <c r="O26" s="11"/>
      <c r="P26" s="12"/>
      <c r="Q26" s="22">
        <f t="shared" si="8"/>
        <v>0</v>
      </c>
      <c r="S26" s="17"/>
      <c r="T26" s="10"/>
      <c r="U26" s="11"/>
      <c r="V26" s="20"/>
      <c r="W26" s="22">
        <f t="shared" si="9"/>
        <v>0</v>
      </c>
    </row>
    <row r="27" spans="1:23" ht="12" x14ac:dyDescent="0.25">
      <c r="A27" s="17">
        <v>45726</v>
      </c>
      <c r="B27" s="10" t="s">
        <v>29</v>
      </c>
      <c r="C27" s="11">
        <v>40</v>
      </c>
      <c r="D27" s="12">
        <v>118000</v>
      </c>
      <c r="E27" s="21">
        <f t="shared" si="6"/>
        <v>4720000</v>
      </c>
      <c r="G27" s="17"/>
      <c r="H27" s="18"/>
      <c r="I27" s="19"/>
      <c r="J27" s="20"/>
      <c r="K27" s="22">
        <f t="shared" si="7"/>
        <v>0</v>
      </c>
      <c r="M27" s="17"/>
      <c r="N27" s="10"/>
      <c r="O27" s="11"/>
      <c r="P27" s="12"/>
      <c r="Q27" s="4">
        <f t="shared" si="8"/>
        <v>0</v>
      </c>
      <c r="S27" s="17"/>
      <c r="T27" s="10"/>
      <c r="U27" s="19"/>
      <c r="V27" s="20"/>
      <c r="W27" s="22">
        <f t="shared" si="9"/>
        <v>0</v>
      </c>
    </row>
    <row r="28" spans="1:23" ht="12" x14ac:dyDescent="0.25">
      <c r="A28" s="17">
        <v>45729</v>
      </c>
      <c r="B28" s="10" t="s">
        <v>45</v>
      </c>
      <c r="C28" s="11">
        <v>8</v>
      </c>
      <c r="D28" s="12">
        <v>240000</v>
      </c>
      <c r="E28" s="21">
        <f t="shared" si="6"/>
        <v>1920000</v>
      </c>
      <c r="G28" s="17"/>
      <c r="H28" s="18"/>
      <c r="I28" s="19"/>
      <c r="J28" s="20"/>
      <c r="K28" s="22">
        <f t="shared" si="7"/>
        <v>0</v>
      </c>
      <c r="M28" s="17"/>
      <c r="N28" s="10"/>
      <c r="O28" s="11"/>
      <c r="P28" s="12"/>
      <c r="Q28" s="4">
        <f t="shared" si="8"/>
        <v>0</v>
      </c>
      <c r="S28" s="17"/>
      <c r="T28" s="10"/>
      <c r="U28" s="19"/>
      <c r="V28" s="22"/>
      <c r="W28" s="22">
        <f t="shared" si="9"/>
        <v>0</v>
      </c>
    </row>
    <row r="29" spans="1:23" ht="12" x14ac:dyDescent="0.25">
      <c r="A29" s="17">
        <v>45729</v>
      </c>
      <c r="B29" s="10" t="s">
        <v>50</v>
      </c>
      <c r="C29" s="11">
        <v>4</v>
      </c>
      <c r="D29" s="12">
        <v>235000</v>
      </c>
      <c r="E29" s="21">
        <f t="shared" si="6"/>
        <v>940000</v>
      </c>
      <c r="G29" s="17"/>
      <c r="H29" s="10"/>
      <c r="I29" s="19"/>
      <c r="J29" s="20"/>
      <c r="K29" s="22">
        <f t="shared" si="7"/>
        <v>0</v>
      </c>
      <c r="M29" s="3"/>
      <c r="N29" s="10"/>
      <c r="O29" s="11"/>
      <c r="P29" s="12"/>
      <c r="Q29" s="4">
        <f t="shared" si="8"/>
        <v>0</v>
      </c>
      <c r="S29" s="17"/>
      <c r="T29" s="10"/>
      <c r="U29" s="19"/>
      <c r="V29" s="22"/>
      <c r="W29" s="22">
        <f t="shared" si="9"/>
        <v>0</v>
      </c>
    </row>
    <row r="30" spans="1:23" ht="12" x14ac:dyDescent="0.25">
      <c r="A30" s="17">
        <v>45730</v>
      </c>
      <c r="B30" s="10" t="s">
        <v>51</v>
      </c>
      <c r="C30" s="11">
        <v>8</v>
      </c>
      <c r="D30" s="12">
        <v>105000</v>
      </c>
      <c r="E30" s="21">
        <f t="shared" si="6"/>
        <v>840000</v>
      </c>
      <c r="G30" s="17"/>
      <c r="H30" s="18"/>
      <c r="I30" s="19"/>
      <c r="J30" s="20"/>
      <c r="K30" s="22">
        <f t="shared" si="7"/>
        <v>0</v>
      </c>
      <c r="M30" s="3"/>
      <c r="N30" s="10"/>
      <c r="O30" s="11"/>
      <c r="P30" s="12"/>
      <c r="Q30" s="4">
        <f t="shared" si="8"/>
        <v>0</v>
      </c>
      <c r="S30" s="17"/>
      <c r="T30" s="10"/>
      <c r="U30" s="19"/>
      <c r="V30" s="22"/>
      <c r="W30" s="22">
        <f t="shared" si="9"/>
        <v>0</v>
      </c>
    </row>
    <row r="31" spans="1:23" ht="12" x14ac:dyDescent="0.25">
      <c r="A31" s="17">
        <v>45732</v>
      </c>
      <c r="B31" s="10" t="s">
        <v>51</v>
      </c>
      <c r="C31" s="11">
        <v>10</v>
      </c>
      <c r="D31" s="12">
        <v>105000</v>
      </c>
      <c r="E31" s="21">
        <f t="shared" si="6"/>
        <v>1050000</v>
      </c>
      <c r="G31" s="17"/>
      <c r="H31" s="18"/>
      <c r="I31" s="19"/>
      <c r="J31" s="20"/>
      <c r="K31" s="22">
        <f t="shared" si="7"/>
        <v>0</v>
      </c>
      <c r="M31" s="17"/>
      <c r="N31" s="10"/>
      <c r="O31" s="19"/>
      <c r="P31" s="22"/>
      <c r="Q31" s="22">
        <f t="shared" si="8"/>
        <v>0</v>
      </c>
      <c r="S31" s="17"/>
      <c r="T31" s="18"/>
      <c r="U31" s="19"/>
      <c r="V31" s="22"/>
      <c r="W31" s="22">
        <f t="shared" si="9"/>
        <v>0</v>
      </c>
    </row>
    <row r="32" spans="1:23" ht="12" x14ac:dyDescent="0.25">
      <c r="A32" s="17">
        <v>45734</v>
      </c>
      <c r="B32" s="10" t="s">
        <v>45</v>
      </c>
      <c r="C32" s="11">
        <v>15</v>
      </c>
      <c r="D32" s="12">
        <v>240000</v>
      </c>
      <c r="E32" s="21">
        <f t="shared" si="6"/>
        <v>3600000</v>
      </c>
      <c r="G32" s="17"/>
      <c r="H32" s="18"/>
      <c r="I32" s="19"/>
      <c r="J32" s="22"/>
      <c r="K32" s="22">
        <f t="shared" si="7"/>
        <v>0</v>
      </c>
      <c r="M32" s="17"/>
      <c r="N32" s="18"/>
      <c r="O32" s="19"/>
      <c r="P32" s="12"/>
      <c r="Q32" s="22">
        <f t="shared" si="8"/>
        <v>0</v>
      </c>
      <c r="S32" s="17"/>
      <c r="T32" s="10"/>
      <c r="U32" s="11"/>
      <c r="V32" s="12"/>
      <c r="W32" s="22">
        <f t="shared" si="9"/>
        <v>0</v>
      </c>
    </row>
    <row r="33" spans="1:23" x14ac:dyDescent="0.2">
      <c r="E33" s="24">
        <f>SUM(E25:E32)</f>
        <v>19435000</v>
      </c>
      <c r="K33" s="24">
        <f>SUM(K25:K32)</f>
        <v>0</v>
      </c>
      <c r="Q33" s="24">
        <f>SUM(Q25:Q32)</f>
        <v>0</v>
      </c>
      <c r="V33" s="24"/>
      <c r="W33" s="24">
        <f>SUM(W25:W32)</f>
        <v>2000000.0000000002</v>
      </c>
    </row>
    <row r="35" spans="1:23" ht="10.199999999999999" customHeight="1" x14ac:dyDescent="0.2">
      <c r="A35" s="33">
        <v>45748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</row>
    <row r="36" spans="1:23" ht="10.199999999999999" customHeight="1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spans="1:23" x14ac:dyDescent="0.2">
      <c r="A37" s="34" t="s">
        <v>0</v>
      </c>
      <c r="B37" s="34" t="s">
        <v>1</v>
      </c>
      <c r="C37" s="38" t="s">
        <v>4</v>
      </c>
      <c r="D37" s="36" t="s">
        <v>2</v>
      </c>
      <c r="E37" s="36" t="s">
        <v>3</v>
      </c>
      <c r="G37" s="34" t="s">
        <v>0</v>
      </c>
      <c r="H37" s="34" t="s">
        <v>13</v>
      </c>
      <c r="I37" s="34" t="s">
        <v>4</v>
      </c>
      <c r="J37" s="36" t="s">
        <v>2</v>
      </c>
      <c r="K37" s="36" t="s">
        <v>3</v>
      </c>
      <c r="M37" s="34" t="s">
        <v>0</v>
      </c>
      <c r="N37" s="34" t="s">
        <v>14</v>
      </c>
      <c r="O37" s="34" t="s">
        <v>4</v>
      </c>
      <c r="P37" s="36" t="s">
        <v>2</v>
      </c>
      <c r="Q37" s="36" t="s">
        <v>3</v>
      </c>
      <c r="S37" s="34" t="s">
        <v>0</v>
      </c>
      <c r="T37" s="34" t="s">
        <v>20</v>
      </c>
      <c r="U37" s="34" t="s">
        <v>4</v>
      </c>
      <c r="V37" s="36" t="s">
        <v>2</v>
      </c>
      <c r="W37" s="36" t="s">
        <v>3</v>
      </c>
    </row>
    <row r="38" spans="1:23" x14ac:dyDescent="0.2">
      <c r="A38" s="35"/>
      <c r="B38" s="35"/>
      <c r="C38" s="39"/>
      <c r="D38" s="37"/>
      <c r="E38" s="37"/>
      <c r="G38" s="35"/>
      <c r="H38" s="35"/>
      <c r="I38" s="35"/>
      <c r="J38" s="37"/>
      <c r="K38" s="37"/>
      <c r="M38" s="35"/>
      <c r="N38" s="35"/>
      <c r="O38" s="35"/>
      <c r="P38" s="37"/>
      <c r="Q38" s="37"/>
      <c r="S38" s="35"/>
      <c r="T38" s="35"/>
      <c r="U38" s="35"/>
      <c r="V38" s="37"/>
      <c r="W38" s="37"/>
    </row>
    <row r="39" spans="1:23" ht="12" x14ac:dyDescent="0.25">
      <c r="A39" s="17">
        <v>45754</v>
      </c>
      <c r="B39" s="10" t="s">
        <v>72</v>
      </c>
      <c r="C39" s="11">
        <v>100</v>
      </c>
      <c r="D39" s="12">
        <v>9000</v>
      </c>
      <c r="E39" s="21">
        <f t="shared" ref="E39:E47" si="10">C39*D39</f>
        <v>900000</v>
      </c>
      <c r="G39" s="17"/>
      <c r="H39" s="10"/>
      <c r="I39" s="19"/>
      <c r="J39" s="20"/>
      <c r="K39" s="22">
        <f t="shared" ref="K39:K47" si="11">I39*J39</f>
        <v>0</v>
      </c>
      <c r="M39" s="17"/>
      <c r="N39" s="10"/>
      <c r="O39" s="11"/>
      <c r="P39" s="12"/>
      <c r="Q39" s="22">
        <f t="shared" ref="Q39:Q47" si="12">O39*P39</f>
        <v>0</v>
      </c>
      <c r="S39" s="17">
        <v>45766</v>
      </c>
      <c r="T39" s="10" t="s">
        <v>73</v>
      </c>
      <c r="U39" s="11">
        <v>15</v>
      </c>
      <c r="V39" s="12">
        <v>115000</v>
      </c>
      <c r="W39" s="21">
        <f t="shared" ref="W39:W47" si="13">U39*V39</f>
        <v>1725000</v>
      </c>
    </row>
    <row r="40" spans="1:23" ht="12" x14ac:dyDescent="0.25">
      <c r="A40" s="17">
        <v>45763</v>
      </c>
      <c r="B40" s="10" t="s">
        <v>74</v>
      </c>
      <c r="C40" s="11">
        <v>50</v>
      </c>
      <c r="D40" s="12">
        <v>105000</v>
      </c>
      <c r="E40" s="21">
        <f t="shared" si="10"/>
        <v>5250000</v>
      </c>
      <c r="G40" s="17"/>
      <c r="H40" s="10"/>
      <c r="I40" s="19"/>
      <c r="J40" s="20"/>
      <c r="K40" s="22">
        <f t="shared" si="11"/>
        <v>0</v>
      </c>
      <c r="M40" s="17"/>
      <c r="N40" s="10"/>
      <c r="O40" s="11"/>
      <c r="P40" s="12"/>
      <c r="Q40" s="22">
        <f t="shared" si="12"/>
        <v>0</v>
      </c>
      <c r="S40" s="17"/>
      <c r="T40" s="10"/>
      <c r="U40" s="11"/>
      <c r="V40" s="20"/>
      <c r="W40" s="22">
        <f t="shared" si="13"/>
        <v>0</v>
      </c>
    </row>
    <row r="41" spans="1:23" ht="12" x14ac:dyDescent="0.25">
      <c r="A41" s="17">
        <v>45767</v>
      </c>
      <c r="B41" s="10" t="s">
        <v>75</v>
      </c>
      <c r="C41" s="11">
        <v>24</v>
      </c>
      <c r="D41" s="12">
        <v>45000</v>
      </c>
      <c r="E41" s="21">
        <f t="shared" si="10"/>
        <v>1080000</v>
      </c>
      <c r="G41" s="17"/>
      <c r="H41" s="18"/>
      <c r="I41" s="19"/>
      <c r="J41" s="20"/>
      <c r="K41" s="22">
        <f t="shared" si="11"/>
        <v>0</v>
      </c>
      <c r="M41" s="17"/>
      <c r="N41" s="10"/>
      <c r="O41" s="11"/>
      <c r="P41" s="12"/>
      <c r="Q41" s="4">
        <f t="shared" si="12"/>
        <v>0</v>
      </c>
      <c r="S41" s="17"/>
      <c r="T41" s="10"/>
      <c r="U41" s="19"/>
      <c r="V41" s="20"/>
      <c r="W41" s="22">
        <f t="shared" si="13"/>
        <v>0</v>
      </c>
    </row>
    <row r="42" spans="1:23" ht="12" x14ac:dyDescent="0.25">
      <c r="A42" s="17">
        <v>45775</v>
      </c>
      <c r="B42" s="10" t="s">
        <v>74</v>
      </c>
      <c r="C42" s="11">
        <v>45</v>
      </c>
      <c r="D42" s="12">
        <v>105000</v>
      </c>
      <c r="E42" s="21">
        <f t="shared" si="10"/>
        <v>4725000</v>
      </c>
      <c r="G42" s="17"/>
      <c r="H42" s="18"/>
      <c r="I42" s="19"/>
      <c r="J42" s="20"/>
      <c r="K42" s="22">
        <f t="shared" si="11"/>
        <v>0</v>
      </c>
      <c r="M42" s="17"/>
      <c r="N42" s="10"/>
      <c r="O42" s="11"/>
      <c r="P42" s="12"/>
      <c r="Q42" s="4">
        <f t="shared" si="12"/>
        <v>0</v>
      </c>
      <c r="S42" s="17"/>
      <c r="T42" s="10"/>
      <c r="U42" s="19"/>
      <c r="V42" s="22"/>
      <c r="W42" s="22">
        <f t="shared" si="13"/>
        <v>0</v>
      </c>
    </row>
    <row r="43" spans="1:23" ht="12" x14ac:dyDescent="0.25">
      <c r="A43" s="17">
        <v>45779</v>
      </c>
      <c r="B43" s="10" t="s">
        <v>76</v>
      </c>
      <c r="C43" s="11">
        <v>20</v>
      </c>
      <c r="D43" s="12">
        <v>95000</v>
      </c>
      <c r="E43" s="21">
        <f t="shared" si="10"/>
        <v>1900000</v>
      </c>
      <c r="G43" s="17"/>
      <c r="H43" s="10"/>
      <c r="I43" s="19"/>
      <c r="J43" s="20"/>
      <c r="K43" s="22">
        <f t="shared" si="11"/>
        <v>0</v>
      </c>
      <c r="M43" s="3"/>
      <c r="N43" s="10"/>
      <c r="O43" s="11"/>
      <c r="P43" s="12"/>
      <c r="Q43" s="4">
        <f t="shared" si="12"/>
        <v>0</v>
      </c>
      <c r="S43" s="17"/>
      <c r="T43" s="10"/>
      <c r="U43" s="19"/>
      <c r="V43" s="22"/>
      <c r="W43" s="22">
        <f t="shared" si="13"/>
        <v>0</v>
      </c>
    </row>
    <row r="44" spans="1:23" ht="12" x14ac:dyDescent="0.25">
      <c r="A44" s="17">
        <v>45779</v>
      </c>
      <c r="B44" s="10" t="s">
        <v>77</v>
      </c>
      <c r="C44" s="11">
        <v>17</v>
      </c>
      <c r="D44" s="12">
        <v>85000</v>
      </c>
      <c r="E44" s="21">
        <f t="shared" si="10"/>
        <v>1445000</v>
      </c>
      <c r="G44" s="17"/>
      <c r="H44" s="18"/>
      <c r="I44" s="19"/>
      <c r="J44" s="20"/>
      <c r="K44" s="22">
        <f t="shared" si="11"/>
        <v>0</v>
      </c>
      <c r="M44" s="3"/>
      <c r="N44" s="10"/>
      <c r="O44" s="11"/>
      <c r="P44" s="12"/>
      <c r="Q44" s="4">
        <f t="shared" si="12"/>
        <v>0</v>
      </c>
      <c r="S44" s="17"/>
      <c r="T44" s="10"/>
      <c r="U44" s="19"/>
      <c r="V44" s="22"/>
      <c r="W44" s="22">
        <f t="shared" si="13"/>
        <v>0</v>
      </c>
    </row>
    <row r="45" spans="1:23" ht="12" x14ac:dyDescent="0.25">
      <c r="A45" s="17">
        <v>45779</v>
      </c>
      <c r="B45" s="10" t="s">
        <v>46</v>
      </c>
      <c r="C45" s="11">
        <v>4</v>
      </c>
      <c r="D45" s="12">
        <v>160000</v>
      </c>
      <c r="E45" s="21">
        <f t="shared" si="10"/>
        <v>640000</v>
      </c>
      <c r="G45" s="17"/>
      <c r="H45" s="18"/>
      <c r="I45" s="19"/>
      <c r="J45" s="20"/>
      <c r="K45" s="22">
        <f t="shared" si="11"/>
        <v>0</v>
      </c>
      <c r="M45" s="17"/>
      <c r="N45" s="10"/>
      <c r="O45" s="19"/>
      <c r="P45" s="22"/>
      <c r="Q45" s="22">
        <f t="shared" si="12"/>
        <v>0</v>
      </c>
      <c r="S45" s="17"/>
      <c r="T45" s="18"/>
      <c r="U45" s="19"/>
      <c r="V45" s="22"/>
      <c r="W45" s="22">
        <f t="shared" si="13"/>
        <v>0</v>
      </c>
    </row>
    <row r="46" spans="1:23" ht="12" x14ac:dyDescent="0.25">
      <c r="A46" s="17">
        <v>45779</v>
      </c>
      <c r="B46" s="10" t="s">
        <v>78</v>
      </c>
      <c r="C46" s="11">
        <v>3</v>
      </c>
      <c r="D46" s="12">
        <v>125000</v>
      </c>
      <c r="E46" s="21">
        <f t="shared" si="10"/>
        <v>375000</v>
      </c>
      <c r="G46" s="17"/>
      <c r="H46" s="18"/>
      <c r="I46" s="19"/>
      <c r="J46" s="22"/>
      <c r="K46" s="22">
        <f t="shared" si="11"/>
        <v>0</v>
      </c>
      <c r="M46" s="17"/>
      <c r="N46" s="18"/>
      <c r="O46" s="19"/>
      <c r="P46" s="12"/>
      <c r="Q46" s="22">
        <f t="shared" si="12"/>
        <v>0</v>
      </c>
      <c r="S46" s="17"/>
      <c r="T46" s="10"/>
      <c r="U46" s="11"/>
      <c r="V46" s="12"/>
      <c r="W46" s="22">
        <f t="shared" si="13"/>
        <v>0</v>
      </c>
    </row>
    <row r="47" spans="1:23" ht="12" x14ac:dyDescent="0.25">
      <c r="A47" s="17">
        <v>45782</v>
      </c>
      <c r="B47" s="10" t="s">
        <v>79</v>
      </c>
      <c r="C47" s="11">
        <v>20</v>
      </c>
      <c r="D47" s="12">
        <v>90000</v>
      </c>
      <c r="E47" s="21">
        <f t="shared" si="10"/>
        <v>1800000</v>
      </c>
      <c r="G47" s="17"/>
      <c r="H47" s="18"/>
      <c r="I47" s="19"/>
      <c r="J47" s="22"/>
      <c r="K47" s="22">
        <f t="shared" si="11"/>
        <v>0</v>
      </c>
      <c r="M47" s="17"/>
      <c r="N47" s="18"/>
      <c r="O47" s="19"/>
      <c r="P47" s="22"/>
      <c r="Q47" s="22">
        <f t="shared" si="12"/>
        <v>0</v>
      </c>
      <c r="S47" s="17"/>
      <c r="T47" s="10"/>
      <c r="U47" s="11"/>
      <c r="V47" s="12"/>
      <c r="W47" s="22">
        <f t="shared" si="13"/>
        <v>0</v>
      </c>
    </row>
    <row r="48" spans="1:23" x14ac:dyDescent="0.2">
      <c r="E48" s="24">
        <f>SUM(E39:E47)</f>
        <v>18115000</v>
      </c>
      <c r="K48" s="24">
        <f>SUM(K39:K47)</f>
        <v>0</v>
      </c>
      <c r="Q48" s="24">
        <f>SUM(Q39:Q47)</f>
        <v>0</v>
      </c>
      <c r="V48" s="24"/>
      <c r="W48" s="24">
        <f>SUM(W39:W47)</f>
        <v>1725000</v>
      </c>
    </row>
    <row r="50" spans="1:23" x14ac:dyDescent="0.2">
      <c r="A50" s="33" t="s">
        <v>93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</row>
    <row r="51" spans="1:23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spans="1:23" x14ac:dyDescent="0.2">
      <c r="A52" s="34" t="s">
        <v>0</v>
      </c>
      <c r="B52" s="34" t="s">
        <v>1</v>
      </c>
      <c r="C52" s="38" t="s">
        <v>4</v>
      </c>
      <c r="D52" s="36" t="s">
        <v>2</v>
      </c>
      <c r="E52" s="36" t="s">
        <v>3</v>
      </c>
      <c r="G52" s="34" t="s">
        <v>0</v>
      </c>
      <c r="H52" s="34" t="s">
        <v>13</v>
      </c>
      <c r="I52" s="34" t="s">
        <v>4</v>
      </c>
      <c r="J52" s="36" t="s">
        <v>2</v>
      </c>
      <c r="K52" s="36" t="s">
        <v>3</v>
      </c>
      <c r="M52" s="34" t="s">
        <v>0</v>
      </c>
      <c r="N52" s="34" t="s">
        <v>14</v>
      </c>
      <c r="O52" s="34" t="s">
        <v>4</v>
      </c>
      <c r="P52" s="36" t="s">
        <v>2</v>
      </c>
      <c r="Q52" s="36" t="s">
        <v>3</v>
      </c>
      <c r="S52" s="34" t="s">
        <v>0</v>
      </c>
      <c r="T52" s="34" t="s">
        <v>20</v>
      </c>
      <c r="U52" s="34" t="s">
        <v>4</v>
      </c>
      <c r="V52" s="36" t="s">
        <v>2</v>
      </c>
      <c r="W52" s="36" t="s">
        <v>3</v>
      </c>
    </row>
    <row r="53" spans="1:23" x14ac:dyDescent="0.2">
      <c r="A53" s="35"/>
      <c r="B53" s="35"/>
      <c r="C53" s="39"/>
      <c r="D53" s="37"/>
      <c r="E53" s="37"/>
      <c r="G53" s="35"/>
      <c r="H53" s="35"/>
      <c r="I53" s="35"/>
      <c r="J53" s="37"/>
      <c r="K53" s="37"/>
      <c r="M53" s="35"/>
      <c r="N53" s="35"/>
      <c r="O53" s="35"/>
      <c r="P53" s="37"/>
      <c r="Q53" s="37"/>
      <c r="S53" s="35"/>
      <c r="T53" s="35"/>
      <c r="U53" s="35"/>
      <c r="V53" s="37"/>
      <c r="W53" s="37"/>
    </row>
    <row r="54" spans="1:23" ht="12" x14ac:dyDescent="0.25">
      <c r="A54" s="17">
        <v>45786</v>
      </c>
      <c r="B54" s="10" t="s">
        <v>80</v>
      </c>
      <c r="C54" s="11">
        <v>50</v>
      </c>
      <c r="D54" s="12">
        <v>10000</v>
      </c>
      <c r="E54" s="21">
        <f t="shared" ref="E54:E73" si="14">C54*D54</f>
        <v>500000</v>
      </c>
      <c r="G54" s="17">
        <v>45792</v>
      </c>
      <c r="H54" s="10" t="s">
        <v>56</v>
      </c>
      <c r="I54" s="19">
        <v>16</v>
      </c>
      <c r="J54" s="20">
        <v>160000</v>
      </c>
      <c r="K54" s="22">
        <f t="shared" ref="K54:K67" si="15">I54*J54</f>
        <v>2560000</v>
      </c>
      <c r="M54" s="17"/>
      <c r="N54" s="10"/>
      <c r="O54" s="11"/>
      <c r="P54" s="12"/>
      <c r="Q54" s="22">
        <f t="shared" ref="Q54:Q73" si="16">O54*P54</f>
        <v>0</v>
      </c>
      <c r="S54" s="17">
        <v>45796</v>
      </c>
      <c r="T54" s="10" t="s">
        <v>45</v>
      </c>
      <c r="U54" s="11">
        <f>16/6</f>
        <v>2.6666666666666665</v>
      </c>
      <c r="V54" s="12">
        <v>240000</v>
      </c>
      <c r="W54" s="21">
        <f t="shared" ref="W54:W67" si="17">U54*V54</f>
        <v>640000</v>
      </c>
    </row>
    <row r="55" spans="1:23" ht="12" x14ac:dyDescent="0.25">
      <c r="A55" s="17">
        <v>45787</v>
      </c>
      <c r="B55" s="10" t="s">
        <v>81</v>
      </c>
      <c r="C55" s="11">
        <v>25</v>
      </c>
      <c r="D55" s="12">
        <v>100000</v>
      </c>
      <c r="E55" s="21">
        <f t="shared" si="14"/>
        <v>2500000</v>
      </c>
      <c r="G55" s="17">
        <v>45798</v>
      </c>
      <c r="H55" s="10" t="s">
        <v>47</v>
      </c>
      <c r="I55" s="11">
        <v>40</v>
      </c>
      <c r="J55" s="20">
        <v>190000</v>
      </c>
      <c r="K55" s="22">
        <f t="shared" si="15"/>
        <v>7600000</v>
      </c>
      <c r="M55" s="17"/>
      <c r="N55" s="10"/>
      <c r="O55" s="11"/>
      <c r="P55" s="12"/>
      <c r="Q55" s="22">
        <f t="shared" si="16"/>
        <v>0</v>
      </c>
      <c r="S55" s="17">
        <v>45796</v>
      </c>
      <c r="T55" s="10" t="s">
        <v>82</v>
      </c>
      <c r="U55" s="11">
        <v>15</v>
      </c>
      <c r="V55" s="12">
        <v>130000</v>
      </c>
      <c r="W55" s="22">
        <f t="shared" si="17"/>
        <v>1950000</v>
      </c>
    </row>
    <row r="56" spans="1:23" ht="12" x14ac:dyDescent="0.25">
      <c r="A56" s="17">
        <v>45788</v>
      </c>
      <c r="B56" s="10" t="s">
        <v>83</v>
      </c>
      <c r="C56" s="11">
        <v>10</v>
      </c>
      <c r="D56" s="12">
        <v>95000</v>
      </c>
      <c r="E56" s="21">
        <f t="shared" si="14"/>
        <v>950000</v>
      </c>
      <c r="G56" s="17">
        <v>45798</v>
      </c>
      <c r="H56" s="10" t="s">
        <v>34</v>
      </c>
      <c r="I56" s="11">
        <v>20</v>
      </c>
      <c r="J56" s="27">
        <v>125000</v>
      </c>
      <c r="K56" s="22">
        <f t="shared" si="15"/>
        <v>2500000</v>
      </c>
      <c r="M56" s="17"/>
      <c r="N56" s="10"/>
      <c r="O56" s="11"/>
      <c r="P56" s="12"/>
      <c r="Q56" s="4">
        <f t="shared" si="16"/>
        <v>0</v>
      </c>
      <c r="S56" s="17">
        <v>45802</v>
      </c>
      <c r="T56" s="10" t="s">
        <v>74</v>
      </c>
      <c r="U56" s="11">
        <v>15</v>
      </c>
      <c r="V56" s="12">
        <v>105000</v>
      </c>
      <c r="W56" s="22">
        <f t="shared" si="17"/>
        <v>1575000</v>
      </c>
    </row>
    <row r="57" spans="1:23" ht="12" x14ac:dyDescent="0.25">
      <c r="A57" s="17">
        <v>45788</v>
      </c>
      <c r="B57" s="10" t="s">
        <v>84</v>
      </c>
      <c r="C57" s="11">
        <v>3</v>
      </c>
      <c r="D57" s="12">
        <v>100000</v>
      </c>
      <c r="E57" s="21">
        <f t="shared" si="14"/>
        <v>300000</v>
      </c>
      <c r="G57" s="17">
        <v>45798</v>
      </c>
      <c r="H57" s="10" t="s">
        <v>47</v>
      </c>
      <c r="I57" s="11">
        <v>30</v>
      </c>
      <c r="J57" s="27">
        <v>190000</v>
      </c>
      <c r="K57" s="22">
        <f t="shared" si="15"/>
        <v>5700000</v>
      </c>
      <c r="M57" s="17"/>
      <c r="N57" s="10"/>
      <c r="O57" s="11"/>
      <c r="P57" s="12"/>
      <c r="Q57" s="4">
        <f t="shared" si="16"/>
        <v>0</v>
      </c>
      <c r="S57" s="17">
        <v>45804</v>
      </c>
      <c r="T57" s="10" t="s">
        <v>85</v>
      </c>
      <c r="U57" s="11">
        <v>17</v>
      </c>
      <c r="V57" s="12">
        <v>160000</v>
      </c>
      <c r="W57" s="22">
        <f t="shared" si="17"/>
        <v>2720000</v>
      </c>
    </row>
    <row r="58" spans="1:23" ht="12" x14ac:dyDescent="0.25">
      <c r="A58" s="17">
        <v>45790</v>
      </c>
      <c r="B58" s="10" t="s">
        <v>74</v>
      </c>
      <c r="C58" s="11">
        <v>40</v>
      </c>
      <c r="D58" s="12">
        <v>105000</v>
      </c>
      <c r="E58" s="21">
        <f t="shared" si="14"/>
        <v>4200000</v>
      </c>
      <c r="G58" s="17">
        <v>45805</v>
      </c>
      <c r="H58" s="10" t="s">
        <v>47</v>
      </c>
      <c r="I58" s="19">
        <v>15</v>
      </c>
      <c r="J58" s="20">
        <v>190000</v>
      </c>
      <c r="K58" s="22">
        <f t="shared" si="15"/>
        <v>2850000</v>
      </c>
      <c r="M58" s="3"/>
      <c r="N58" s="10"/>
      <c r="O58" s="11"/>
      <c r="P58" s="12"/>
      <c r="Q58" s="4">
        <f t="shared" si="16"/>
        <v>0</v>
      </c>
      <c r="S58" s="17"/>
      <c r="T58" s="10"/>
      <c r="U58" s="19"/>
      <c r="V58" s="22"/>
      <c r="W58" s="22">
        <f t="shared" si="17"/>
        <v>0</v>
      </c>
    </row>
    <row r="59" spans="1:23" ht="12" x14ac:dyDescent="0.25">
      <c r="A59" s="17">
        <v>45790</v>
      </c>
      <c r="B59" s="10" t="s">
        <v>71</v>
      </c>
      <c r="C59" s="11">
        <v>3</v>
      </c>
      <c r="D59" s="12">
        <v>250000</v>
      </c>
      <c r="E59" s="21">
        <f t="shared" si="14"/>
        <v>750000</v>
      </c>
      <c r="G59" s="17">
        <v>45808</v>
      </c>
      <c r="H59" s="10" t="s">
        <v>86</v>
      </c>
      <c r="I59" s="11">
        <v>25</v>
      </c>
      <c r="J59" s="27">
        <v>60000</v>
      </c>
      <c r="K59" s="22">
        <f t="shared" si="15"/>
        <v>1500000</v>
      </c>
      <c r="M59" s="3"/>
      <c r="N59" s="10"/>
      <c r="O59" s="11"/>
      <c r="P59" s="12"/>
      <c r="Q59" s="4">
        <f t="shared" si="16"/>
        <v>0</v>
      </c>
      <c r="S59" s="17"/>
      <c r="T59" s="10"/>
      <c r="U59" s="19"/>
      <c r="V59" s="22"/>
      <c r="W59" s="22">
        <f t="shared" si="17"/>
        <v>0</v>
      </c>
    </row>
    <row r="60" spans="1:23" ht="12" x14ac:dyDescent="0.25">
      <c r="A60" s="17">
        <v>45791</v>
      </c>
      <c r="B60" s="10" t="s">
        <v>87</v>
      </c>
      <c r="C60" s="11">
        <f>6/5.5</f>
        <v>1.0909090909090908</v>
      </c>
      <c r="D60" s="12">
        <f>48000*5.5</f>
        <v>264000</v>
      </c>
      <c r="E60" s="21">
        <f t="shared" si="14"/>
        <v>288000</v>
      </c>
      <c r="G60" s="17">
        <v>45811</v>
      </c>
      <c r="H60" s="18" t="s">
        <v>88</v>
      </c>
      <c r="I60" s="19">
        <v>15</v>
      </c>
      <c r="J60" s="20">
        <v>55000</v>
      </c>
      <c r="K60" s="22">
        <f t="shared" si="15"/>
        <v>825000</v>
      </c>
      <c r="M60" s="17"/>
      <c r="N60" s="10"/>
      <c r="O60" s="19"/>
      <c r="P60" s="22"/>
      <c r="Q60" s="22">
        <f t="shared" si="16"/>
        <v>0</v>
      </c>
      <c r="S60" s="17"/>
      <c r="T60" s="18"/>
      <c r="U60" s="19"/>
      <c r="V60" s="22"/>
      <c r="W60" s="22">
        <f t="shared" si="17"/>
        <v>0</v>
      </c>
    </row>
    <row r="61" spans="1:23" ht="12" x14ac:dyDescent="0.25">
      <c r="A61" s="17">
        <v>45797</v>
      </c>
      <c r="B61" s="10" t="s">
        <v>89</v>
      </c>
      <c r="C61" s="11">
        <v>25</v>
      </c>
      <c r="D61" s="12">
        <v>18000</v>
      </c>
      <c r="E61" s="21">
        <f t="shared" si="14"/>
        <v>450000</v>
      </c>
      <c r="G61" s="17"/>
      <c r="H61" s="18"/>
      <c r="I61" s="19"/>
      <c r="J61" s="22"/>
      <c r="K61" s="22">
        <f t="shared" si="15"/>
        <v>0</v>
      </c>
      <c r="M61" s="17"/>
      <c r="N61" s="18"/>
      <c r="O61" s="19"/>
      <c r="P61" s="12"/>
      <c r="Q61" s="22">
        <f t="shared" si="16"/>
        <v>0</v>
      </c>
      <c r="S61" s="17"/>
      <c r="T61" s="10"/>
      <c r="U61" s="11"/>
      <c r="V61" s="12"/>
      <c r="W61" s="22">
        <f t="shared" si="17"/>
        <v>0</v>
      </c>
    </row>
    <row r="62" spans="1:23" ht="12" x14ac:dyDescent="0.25">
      <c r="A62" s="17">
        <v>45797</v>
      </c>
      <c r="B62" s="10" t="s">
        <v>29</v>
      </c>
      <c r="C62" s="11">
        <v>50</v>
      </c>
      <c r="D62" s="12">
        <v>118000</v>
      </c>
      <c r="E62" s="21">
        <f t="shared" si="14"/>
        <v>5900000</v>
      </c>
      <c r="G62" s="17"/>
      <c r="H62" s="18"/>
      <c r="I62" s="19"/>
      <c r="J62" s="22"/>
      <c r="K62" s="22">
        <f t="shared" si="15"/>
        <v>0</v>
      </c>
      <c r="M62" s="17"/>
      <c r="N62" s="18"/>
      <c r="O62" s="19"/>
      <c r="P62" s="22"/>
      <c r="Q62" s="22">
        <f t="shared" si="16"/>
        <v>0</v>
      </c>
      <c r="S62" s="17"/>
      <c r="T62" s="10"/>
      <c r="U62" s="11"/>
      <c r="V62" s="12"/>
      <c r="W62" s="22">
        <f t="shared" si="17"/>
        <v>0</v>
      </c>
    </row>
    <row r="63" spans="1:23" ht="12" x14ac:dyDescent="0.25">
      <c r="A63" s="17">
        <v>45800</v>
      </c>
      <c r="B63" s="10" t="s">
        <v>90</v>
      </c>
      <c r="C63" s="11">
        <v>50</v>
      </c>
      <c r="D63" s="12">
        <v>115000</v>
      </c>
      <c r="E63" s="21">
        <f t="shared" si="14"/>
        <v>5750000</v>
      </c>
      <c r="G63" s="17"/>
      <c r="H63" s="18"/>
      <c r="I63" s="19"/>
      <c r="J63" s="20"/>
      <c r="K63" s="22">
        <f t="shared" si="15"/>
        <v>0</v>
      </c>
      <c r="M63" s="17"/>
      <c r="N63" s="18"/>
      <c r="O63" s="19"/>
      <c r="P63" s="22"/>
      <c r="Q63" s="22">
        <f t="shared" si="16"/>
        <v>0</v>
      </c>
      <c r="S63" s="17"/>
      <c r="T63" s="18"/>
      <c r="U63" s="19"/>
      <c r="V63" s="22"/>
      <c r="W63" s="22">
        <f t="shared" si="17"/>
        <v>0</v>
      </c>
    </row>
    <row r="64" spans="1:23" ht="12" x14ac:dyDescent="0.25">
      <c r="A64" s="17">
        <v>45800</v>
      </c>
      <c r="B64" s="10" t="s">
        <v>51</v>
      </c>
      <c r="C64" s="11">
        <v>6</v>
      </c>
      <c r="D64" s="12">
        <v>100000</v>
      </c>
      <c r="E64" s="21">
        <f t="shared" si="14"/>
        <v>600000</v>
      </c>
      <c r="G64" s="17"/>
      <c r="H64" s="18"/>
      <c r="I64" s="19"/>
      <c r="J64" s="22"/>
      <c r="K64" s="22">
        <f t="shared" si="15"/>
        <v>0</v>
      </c>
      <c r="M64" s="17"/>
      <c r="N64" s="18"/>
      <c r="O64" s="19"/>
      <c r="P64" s="22"/>
      <c r="Q64" s="22">
        <f t="shared" si="16"/>
        <v>0</v>
      </c>
      <c r="S64" s="17"/>
      <c r="T64" s="18"/>
      <c r="U64" s="19"/>
      <c r="V64" s="22"/>
      <c r="W64" s="22">
        <f t="shared" si="17"/>
        <v>0</v>
      </c>
    </row>
    <row r="65" spans="1:23" ht="12" x14ac:dyDescent="0.25">
      <c r="A65" s="17">
        <v>45801</v>
      </c>
      <c r="B65" s="10" t="s">
        <v>76</v>
      </c>
      <c r="C65" s="11">
        <v>20</v>
      </c>
      <c r="D65" s="12">
        <v>95000</v>
      </c>
      <c r="E65" s="21">
        <f t="shared" si="14"/>
        <v>1900000</v>
      </c>
      <c r="G65" s="17"/>
      <c r="H65" s="18"/>
      <c r="I65" s="19"/>
      <c r="J65" s="22"/>
      <c r="K65" s="22">
        <f t="shared" si="15"/>
        <v>0</v>
      </c>
      <c r="M65" s="17"/>
      <c r="N65" s="18"/>
      <c r="O65" s="19"/>
      <c r="P65" s="22"/>
      <c r="Q65" s="22">
        <f t="shared" si="16"/>
        <v>0</v>
      </c>
      <c r="S65" s="17"/>
      <c r="T65" s="18"/>
      <c r="U65" s="19"/>
      <c r="V65" s="22"/>
      <c r="W65" s="22">
        <f t="shared" si="17"/>
        <v>0</v>
      </c>
    </row>
    <row r="66" spans="1:23" ht="12" x14ac:dyDescent="0.25">
      <c r="A66" s="13">
        <v>45802</v>
      </c>
      <c r="B66" s="10" t="s">
        <v>47</v>
      </c>
      <c r="C66" s="11">
        <v>15</v>
      </c>
      <c r="D66" s="12">
        <v>175000</v>
      </c>
      <c r="E66" s="21">
        <f t="shared" si="14"/>
        <v>2625000</v>
      </c>
      <c r="G66" s="17"/>
      <c r="H66" s="18"/>
      <c r="I66" s="19"/>
      <c r="J66" s="22"/>
      <c r="K66" s="22">
        <f t="shared" si="15"/>
        <v>0</v>
      </c>
      <c r="M66" s="17"/>
      <c r="N66" s="18"/>
      <c r="O66" s="19"/>
      <c r="P66" s="22"/>
      <c r="Q66" s="22">
        <f t="shared" si="16"/>
        <v>0</v>
      </c>
      <c r="S66" s="17"/>
      <c r="T66" s="18"/>
      <c r="U66" s="19"/>
      <c r="V66" s="22"/>
      <c r="W66" s="22">
        <f t="shared" si="17"/>
        <v>0</v>
      </c>
    </row>
    <row r="67" spans="1:23" ht="12" x14ac:dyDescent="0.25">
      <c r="A67" s="13">
        <v>45805</v>
      </c>
      <c r="B67" s="10" t="s">
        <v>81</v>
      </c>
      <c r="C67" s="11">
        <v>15</v>
      </c>
      <c r="D67" s="12">
        <v>100000</v>
      </c>
      <c r="E67" s="21">
        <f t="shared" si="14"/>
        <v>1500000</v>
      </c>
      <c r="G67" s="17"/>
      <c r="H67" s="18"/>
      <c r="I67" s="19"/>
      <c r="J67" s="22"/>
      <c r="K67" s="22">
        <f t="shared" si="15"/>
        <v>0</v>
      </c>
      <c r="M67" s="17"/>
      <c r="N67" s="18"/>
      <c r="O67" s="19"/>
      <c r="P67" s="22"/>
      <c r="Q67" s="22">
        <f t="shared" si="16"/>
        <v>0</v>
      </c>
      <c r="S67" s="17"/>
      <c r="T67" s="18"/>
      <c r="U67" s="19"/>
      <c r="V67" s="22"/>
      <c r="W67" s="22">
        <f t="shared" si="17"/>
        <v>0</v>
      </c>
    </row>
    <row r="68" spans="1:23" ht="12" x14ac:dyDescent="0.25">
      <c r="A68" s="13">
        <v>45805</v>
      </c>
      <c r="B68" s="10" t="s">
        <v>91</v>
      </c>
      <c r="C68" s="11">
        <v>2</v>
      </c>
      <c r="D68" s="12">
        <v>160000</v>
      </c>
      <c r="E68" s="21">
        <f t="shared" si="14"/>
        <v>320000</v>
      </c>
      <c r="G68" s="17"/>
      <c r="H68" s="18"/>
      <c r="I68" s="19"/>
      <c r="J68" s="22"/>
      <c r="K68" s="22"/>
      <c r="M68" s="17"/>
      <c r="N68" s="18"/>
      <c r="O68" s="19"/>
      <c r="P68" s="22"/>
      <c r="Q68" s="22">
        <f t="shared" si="16"/>
        <v>0</v>
      </c>
      <c r="S68" s="17"/>
      <c r="T68" s="18"/>
      <c r="U68" s="19"/>
      <c r="V68" s="22"/>
      <c r="W68" s="22"/>
    </row>
    <row r="69" spans="1:23" ht="12" x14ac:dyDescent="0.25">
      <c r="A69" s="17">
        <v>45807</v>
      </c>
      <c r="B69" s="10" t="s">
        <v>92</v>
      </c>
      <c r="C69" s="11">
        <f>36/5.5</f>
        <v>6.5454545454545459</v>
      </c>
      <c r="D69" s="12">
        <f>24000*5.5</f>
        <v>132000</v>
      </c>
      <c r="E69" s="21">
        <f t="shared" si="14"/>
        <v>864000</v>
      </c>
      <c r="G69" s="17"/>
      <c r="H69" s="18"/>
      <c r="I69" s="19"/>
      <c r="J69" s="22"/>
      <c r="K69" s="22"/>
      <c r="M69" s="17"/>
      <c r="N69" s="18"/>
      <c r="O69" s="19"/>
      <c r="P69" s="22"/>
      <c r="Q69" s="22">
        <f t="shared" si="16"/>
        <v>0</v>
      </c>
      <c r="S69" s="17"/>
      <c r="T69" s="18"/>
      <c r="U69" s="19"/>
      <c r="V69" s="22"/>
      <c r="W69" s="22"/>
    </row>
    <row r="70" spans="1:23" ht="12" x14ac:dyDescent="0.25">
      <c r="A70" s="17">
        <v>45809</v>
      </c>
      <c r="B70" s="10" t="s">
        <v>92</v>
      </c>
      <c r="C70" s="11">
        <v>36</v>
      </c>
      <c r="D70" s="12">
        <v>130000</v>
      </c>
      <c r="E70" s="21">
        <f t="shared" si="14"/>
        <v>4680000</v>
      </c>
      <c r="G70" s="17"/>
      <c r="H70" s="18"/>
      <c r="I70" s="19"/>
      <c r="J70" s="22"/>
      <c r="K70" s="22"/>
      <c r="M70" s="17"/>
      <c r="N70" s="18"/>
      <c r="O70" s="19"/>
      <c r="P70" s="22"/>
      <c r="Q70" s="22">
        <f t="shared" si="16"/>
        <v>0</v>
      </c>
      <c r="S70" s="17"/>
      <c r="T70" s="18"/>
      <c r="U70" s="19"/>
      <c r="V70" s="22"/>
      <c r="W70" s="22"/>
    </row>
    <row r="71" spans="1:23" ht="12" x14ac:dyDescent="0.25">
      <c r="A71" s="17">
        <v>45812</v>
      </c>
      <c r="B71" s="10" t="s">
        <v>73</v>
      </c>
      <c r="C71" s="11">
        <v>15</v>
      </c>
      <c r="D71" s="12">
        <v>115000</v>
      </c>
      <c r="E71" s="21">
        <f t="shared" si="14"/>
        <v>1725000</v>
      </c>
      <c r="G71" s="17"/>
      <c r="H71" s="18"/>
      <c r="I71" s="19"/>
      <c r="J71" s="22"/>
      <c r="K71" s="22"/>
      <c r="M71" s="17"/>
      <c r="N71" s="18"/>
      <c r="O71" s="19"/>
      <c r="P71" s="22"/>
      <c r="Q71" s="22">
        <f t="shared" si="16"/>
        <v>0</v>
      </c>
      <c r="S71" s="17"/>
      <c r="T71" s="18"/>
      <c r="U71" s="19"/>
      <c r="V71" s="22"/>
      <c r="W71" s="22"/>
    </row>
    <row r="72" spans="1:23" ht="12" x14ac:dyDescent="0.25">
      <c r="A72" s="17">
        <v>45812</v>
      </c>
      <c r="B72" s="10" t="s">
        <v>46</v>
      </c>
      <c r="C72" s="11">
        <v>3</v>
      </c>
      <c r="D72" s="12">
        <v>150000</v>
      </c>
      <c r="E72" s="21">
        <f t="shared" si="14"/>
        <v>450000</v>
      </c>
      <c r="G72" s="17"/>
      <c r="H72" s="18"/>
      <c r="I72" s="19"/>
      <c r="J72" s="22"/>
      <c r="K72" s="22"/>
      <c r="M72" s="17"/>
      <c r="N72" s="18"/>
      <c r="O72" s="19"/>
      <c r="P72" s="22"/>
      <c r="Q72" s="22">
        <f t="shared" si="16"/>
        <v>0</v>
      </c>
      <c r="S72" s="17"/>
      <c r="T72" s="18"/>
      <c r="U72" s="19"/>
      <c r="V72" s="22"/>
      <c r="W72" s="22"/>
    </row>
    <row r="73" spans="1:23" ht="12" x14ac:dyDescent="0.25">
      <c r="A73" s="17">
        <v>45815</v>
      </c>
      <c r="B73" s="10" t="s">
        <v>91</v>
      </c>
      <c r="C73" s="11">
        <v>9</v>
      </c>
      <c r="D73" s="12">
        <v>150000</v>
      </c>
      <c r="E73" s="21">
        <f t="shared" si="14"/>
        <v>1350000</v>
      </c>
      <c r="G73" s="17"/>
      <c r="H73" s="18"/>
      <c r="I73" s="19"/>
      <c r="J73" s="22"/>
      <c r="K73" s="22"/>
      <c r="M73" s="17"/>
      <c r="N73" s="18"/>
      <c r="O73" s="19"/>
      <c r="P73" s="22"/>
      <c r="Q73" s="22">
        <f t="shared" si="16"/>
        <v>0</v>
      </c>
      <c r="S73" s="17"/>
      <c r="T73" s="18"/>
      <c r="U73" s="19"/>
      <c r="V73" s="22"/>
      <c r="W73" s="22"/>
    </row>
    <row r="74" spans="1:23" x14ac:dyDescent="0.2">
      <c r="E74" s="24">
        <f>SUM(E54:E73)</f>
        <v>37602000</v>
      </c>
      <c r="K74" s="24">
        <f>SUM(K54:K73)</f>
        <v>23535000</v>
      </c>
      <c r="Q74" s="24">
        <f>SUM(Q54:Q73)</f>
        <v>0</v>
      </c>
      <c r="V74" s="24"/>
      <c r="W74" s="24">
        <f>SUM(W54:W73)</f>
        <v>6885000</v>
      </c>
    </row>
    <row r="76" spans="1:23" x14ac:dyDescent="0.2">
      <c r="A76" s="33" t="s">
        <v>112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spans="1:23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spans="1:23" x14ac:dyDescent="0.2">
      <c r="A78" s="34" t="s">
        <v>0</v>
      </c>
      <c r="B78" s="34" t="s">
        <v>1</v>
      </c>
      <c r="C78" s="38" t="s">
        <v>4</v>
      </c>
      <c r="D78" s="36" t="s">
        <v>2</v>
      </c>
      <c r="E78" s="36" t="s">
        <v>3</v>
      </c>
      <c r="G78" s="34" t="s">
        <v>0</v>
      </c>
      <c r="H78" s="34" t="s">
        <v>13</v>
      </c>
      <c r="I78" s="34" t="s">
        <v>4</v>
      </c>
      <c r="J78" s="36" t="s">
        <v>2</v>
      </c>
      <c r="K78" s="36" t="s">
        <v>3</v>
      </c>
      <c r="M78" s="34" t="s">
        <v>0</v>
      </c>
      <c r="N78" s="34" t="s">
        <v>14</v>
      </c>
      <c r="O78" s="34" t="s">
        <v>4</v>
      </c>
      <c r="P78" s="36" t="s">
        <v>2</v>
      </c>
      <c r="Q78" s="36" t="s">
        <v>3</v>
      </c>
      <c r="S78" s="34" t="s">
        <v>0</v>
      </c>
      <c r="T78" s="34" t="s">
        <v>20</v>
      </c>
      <c r="U78" s="34" t="s">
        <v>4</v>
      </c>
      <c r="V78" s="36" t="s">
        <v>2</v>
      </c>
      <c r="W78" s="36" t="s">
        <v>3</v>
      </c>
    </row>
    <row r="79" spans="1:23" x14ac:dyDescent="0.2">
      <c r="A79" s="35"/>
      <c r="B79" s="35"/>
      <c r="C79" s="39"/>
      <c r="D79" s="37"/>
      <c r="E79" s="37"/>
      <c r="G79" s="35"/>
      <c r="H79" s="35"/>
      <c r="I79" s="35"/>
      <c r="J79" s="37"/>
      <c r="K79" s="37"/>
      <c r="M79" s="35"/>
      <c r="N79" s="35"/>
      <c r="O79" s="35"/>
      <c r="P79" s="37"/>
      <c r="Q79" s="37"/>
      <c r="S79" s="35"/>
      <c r="T79" s="35"/>
      <c r="U79" s="35"/>
      <c r="V79" s="37"/>
      <c r="W79" s="37"/>
    </row>
    <row r="80" spans="1:23" ht="12" x14ac:dyDescent="0.25">
      <c r="A80" s="17"/>
      <c r="B80" s="10"/>
      <c r="C80" s="11"/>
      <c r="D80" s="12"/>
      <c r="E80" s="21">
        <f t="shared" ref="E80:E94" si="18">C80*D80</f>
        <v>0</v>
      </c>
      <c r="G80" s="17">
        <v>45818</v>
      </c>
      <c r="H80" s="10" t="s">
        <v>104</v>
      </c>
      <c r="I80" s="19">
        <v>38</v>
      </c>
      <c r="J80" s="20">
        <v>135000</v>
      </c>
      <c r="K80" s="22">
        <f t="shared" ref="K80:K93" si="19">I80*J80</f>
        <v>5130000</v>
      </c>
      <c r="M80" s="17">
        <v>45825</v>
      </c>
      <c r="N80" s="10" t="s">
        <v>105</v>
      </c>
      <c r="O80" s="11">
        <f>34/5.5</f>
        <v>6.1818181818181817</v>
      </c>
      <c r="P80" s="12">
        <v>220000</v>
      </c>
      <c r="Q80" s="22">
        <f t="shared" ref="Q80:Q94" si="20">O80*P80</f>
        <v>1360000</v>
      </c>
      <c r="S80" s="17"/>
      <c r="T80" s="10"/>
      <c r="U80" s="11"/>
      <c r="V80" s="12"/>
      <c r="W80" s="21">
        <f t="shared" ref="W80:W93" si="21">U80*V80</f>
        <v>0</v>
      </c>
    </row>
    <row r="81" spans="1:23" ht="12" x14ac:dyDescent="0.25">
      <c r="A81" s="17">
        <v>45818</v>
      </c>
      <c r="B81" s="10" t="s">
        <v>100</v>
      </c>
      <c r="C81" s="11">
        <v>5</v>
      </c>
      <c r="D81" s="12">
        <v>255000</v>
      </c>
      <c r="E81" s="21">
        <f t="shared" si="18"/>
        <v>1275000</v>
      </c>
      <c r="G81" s="17">
        <v>45826</v>
      </c>
      <c r="H81" s="10" t="s">
        <v>106</v>
      </c>
      <c r="I81" s="11">
        <f>92/5.5</f>
        <v>16.727272727272727</v>
      </c>
      <c r="J81" s="20">
        <v>165000</v>
      </c>
      <c r="K81" s="22">
        <f t="shared" si="19"/>
        <v>2760000</v>
      </c>
      <c r="M81" s="17"/>
      <c r="N81" s="10"/>
      <c r="O81" s="11"/>
      <c r="P81" s="12"/>
      <c r="Q81" s="22">
        <f t="shared" si="20"/>
        <v>0</v>
      </c>
      <c r="S81" s="17"/>
      <c r="T81" s="10"/>
      <c r="U81" s="11"/>
      <c r="V81" s="12"/>
      <c r="W81" s="22">
        <f t="shared" si="21"/>
        <v>0</v>
      </c>
    </row>
    <row r="82" spans="1:23" ht="12" x14ac:dyDescent="0.25">
      <c r="A82" s="17">
        <v>45818</v>
      </c>
      <c r="B82" s="10" t="s">
        <v>92</v>
      </c>
      <c r="C82" s="11">
        <v>30</v>
      </c>
      <c r="D82" s="12">
        <v>130000</v>
      </c>
      <c r="E82" s="21">
        <f t="shared" si="18"/>
        <v>3900000</v>
      </c>
      <c r="G82" s="17"/>
      <c r="H82" s="10"/>
      <c r="I82" s="11"/>
      <c r="J82" s="27"/>
      <c r="K82" s="22">
        <f t="shared" si="19"/>
        <v>0</v>
      </c>
      <c r="M82" s="17"/>
      <c r="N82" s="10"/>
      <c r="O82" s="11"/>
      <c r="P82" s="12"/>
      <c r="Q82" s="4">
        <f t="shared" si="20"/>
        <v>0</v>
      </c>
      <c r="S82" s="17"/>
      <c r="T82" s="10"/>
      <c r="U82" s="11"/>
      <c r="V82" s="12"/>
      <c r="W82" s="22">
        <f t="shared" si="21"/>
        <v>0</v>
      </c>
    </row>
    <row r="83" spans="1:23" ht="12" x14ac:dyDescent="0.25">
      <c r="A83" s="17">
        <v>45819</v>
      </c>
      <c r="B83" s="10" t="s">
        <v>107</v>
      </c>
      <c r="C83" s="30">
        <v>15</v>
      </c>
      <c r="D83" s="12">
        <v>105000</v>
      </c>
      <c r="E83" s="21">
        <f t="shared" si="18"/>
        <v>1575000</v>
      </c>
      <c r="G83" s="17"/>
      <c r="H83" s="10"/>
      <c r="I83" s="11"/>
      <c r="J83" s="27"/>
      <c r="K83" s="22">
        <f t="shared" si="19"/>
        <v>0</v>
      </c>
      <c r="M83" s="17"/>
      <c r="N83" s="10"/>
      <c r="O83" s="11"/>
      <c r="P83" s="12"/>
      <c r="Q83" s="4">
        <f t="shared" si="20"/>
        <v>0</v>
      </c>
      <c r="S83" s="17"/>
      <c r="T83" s="10"/>
      <c r="U83" s="11"/>
      <c r="V83" s="12"/>
      <c r="W83" s="22">
        <f t="shared" si="21"/>
        <v>0</v>
      </c>
    </row>
    <row r="84" spans="1:23" ht="12" x14ac:dyDescent="0.25">
      <c r="A84" s="17">
        <v>45824</v>
      </c>
      <c r="B84" s="10" t="s">
        <v>108</v>
      </c>
      <c r="C84" s="11">
        <v>10</v>
      </c>
      <c r="D84" s="12">
        <v>95000</v>
      </c>
      <c r="E84" s="21">
        <f t="shared" si="18"/>
        <v>950000</v>
      </c>
      <c r="G84" s="17"/>
      <c r="H84" s="10"/>
      <c r="I84" s="19"/>
      <c r="J84" s="20"/>
      <c r="K84" s="22">
        <f t="shared" si="19"/>
        <v>0</v>
      </c>
      <c r="M84" s="3"/>
      <c r="N84" s="10"/>
      <c r="O84" s="11"/>
      <c r="P84" s="12"/>
      <c r="Q84" s="4">
        <f t="shared" si="20"/>
        <v>0</v>
      </c>
      <c r="S84" s="17"/>
      <c r="T84" s="10"/>
      <c r="U84" s="19"/>
      <c r="V84" s="22"/>
      <c r="W84" s="22">
        <f t="shared" si="21"/>
        <v>0</v>
      </c>
    </row>
    <row r="85" spans="1:23" ht="12" x14ac:dyDescent="0.25">
      <c r="A85" s="17">
        <v>45830</v>
      </c>
      <c r="B85" s="10" t="s">
        <v>109</v>
      </c>
      <c r="C85" s="11">
        <v>6</v>
      </c>
      <c r="D85" s="12">
        <v>245000</v>
      </c>
      <c r="E85" s="21">
        <f t="shared" si="18"/>
        <v>1470000</v>
      </c>
      <c r="G85" s="17"/>
      <c r="H85" s="10"/>
      <c r="I85" s="11"/>
      <c r="J85" s="27"/>
      <c r="K85" s="22">
        <f t="shared" si="19"/>
        <v>0</v>
      </c>
      <c r="M85" s="3"/>
      <c r="N85" s="10"/>
      <c r="O85" s="11"/>
      <c r="P85" s="12"/>
      <c r="Q85" s="4">
        <f t="shared" si="20"/>
        <v>0</v>
      </c>
      <c r="S85" s="17"/>
      <c r="T85" s="10"/>
      <c r="U85" s="19"/>
      <c r="V85" s="22"/>
      <c r="W85" s="22">
        <f t="shared" si="21"/>
        <v>0</v>
      </c>
    </row>
    <row r="86" spans="1:23" ht="12" x14ac:dyDescent="0.25">
      <c r="A86" s="17">
        <v>45831</v>
      </c>
      <c r="B86" s="10" t="s">
        <v>29</v>
      </c>
      <c r="C86" s="11">
        <v>40</v>
      </c>
      <c r="D86" s="12">
        <v>118000</v>
      </c>
      <c r="E86" s="21">
        <f t="shared" si="18"/>
        <v>4720000</v>
      </c>
      <c r="G86" s="17"/>
      <c r="H86" s="18"/>
      <c r="I86" s="19"/>
      <c r="J86" s="20"/>
      <c r="K86" s="22">
        <f t="shared" si="19"/>
        <v>0</v>
      </c>
      <c r="M86" s="17"/>
      <c r="N86" s="10"/>
      <c r="O86" s="19"/>
      <c r="P86" s="22"/>
      <c r="Q86" s="22">
        <f t="shared" si="20"/>
        <v>0</v>
      </c>
      <c r="S86" s="17"/>
      <c r="T86" s="18"/>
      <c r="U86" s="19"/>
      <c r="V86" s="22"/>
      <c r="W86" s="22">
        <f t="shared" si="21"/>
        <v>0</v>
      </c>
    </row>
    <row r="87" spans="1:23" ht="12" x14ac:dyDescent="0.25">
      <c r="A87" s="17">
        <v>45834</v>
      </c>
      <c r="B87" s="10" t="s">
        <v>29</v>
      </c>
      <c r="C87" s="11">
        <v>28</v>
      </c>
      <c r="D87" s="12">
        <v>118000</v>
      </c>
      <c r="E87" s="21">
        <f t="shared" si="18"/>
        <v>3304000</v>
      </c>
      <c r="G87" s="17"/>
      <c r="H87" s="18"/>
      <c r="I87" s="19"/>
      <c r="J87" s="22"/>
      <c r="K87" s="22">
        <f t="shared" si="19"/>
        <v>0</v>
      </c>
      <c r="M87" s="17"/>
      <c r="N87" s="18"/>
      <c r="O87" s="19"/>
      <c r="P87" s="12"/>
      <c r="Q87" s="22">
        <f t="shared" si="20"/>
        <v>0</v>
      </c>
      <c r="S87" s="17"/>
      <c r="T87" s="10"/>
      <c r="U87" s="11"/>
      <c r="V87" s="12"/>
      <c r="W87" s="22">
        <f t="shared" si="21"/>
        <v>0</v>
      </c>
    </row>
    <row r="88" spans="1:23" ht="12" x14ac:dyDescent="0.25">
      <c r="A88" s="17">
        <v>45837</v>
      </c>
      <c r="B88" s="10" t="s">
        <v>92</v>
      </c>
      <c r="C88" s="11">
        <v>10</v>
      </c>
      <c r="D88" s="12">
        <v>130000</v>
      </c>
      <c r="E88" s="21">
        <f t="shared" si="18"/>
        <v>1300000</v>
      </c>
      <c r="G88" s="17"/>
      <c r="H88" s="18"/>
      <c r="I88" s="19"/>
      <c r="J88" s="22"/>
      <c r="K88" s="22">
        <f t="shared" si="19"/>
        <v>0</v>
      </c>
      <c r="M88" s="17"/>
      <c r="N88" s="18"/>
      <c r="O88" s="19"/>
      <c r="P88" s="22"/>
      <c r="Q88" s="22">
        <f t="shared" si="20"/>
        <v>0</v>
      </c>
      <c r="S88" s="17"/>
      <c r="T88" s="10"/>
      <c r="U88" s="11"/>
      <c r="V88" s="12"/>
      <c r="W88" s="22">
        <f t="shared" si="21"/>
        <v>0</v>
      </c>
    </row>
    <row r="89" spans="1:23" ht="12" x14ac:dyDescent="0.25">
      <c r="A89" s="17">
        <v>45837</v>
      </c>
      <c r="B89" s="10" t="s">
        <v>83</v>
      </c>
      <c r="C89" s="11">
        <v>2</v>
      </c>
      <c r="D89" s="12">
        <v>100000</v>
      </c>
      <c r="E89" s="21">
        <f t="shared" si="18"/>
        <v>200000</v>
      </c>
      <c r="G89" s="17"/>
      <c r="H89" s="18"/>
      <c r="I89" s="19"/>
      <c r="J89" s="20"/>
      <c r="K89" s="22">
        <f t="shared" si="19"/>
        <v>0</v>
      </c>
      <c r="M89" s="17"/>
      <c r="N89" s="18"/>
      <c r="O89" s="19"/>
      <c r="P89" s="22"/>
      <c r="Q89" s="22">
        <f t="shared" si="20"/>
        <v>0</v>
      </c>
      <c r="S89" s="17"/>
      <c r="T89" s="18"/>
      <c r="U89" s="19"/>
      <c r="V89" s="22"/>
      <c r="W89" s="22">
        <f t="shared" si="21"/>
        <v>0</v>
      </c>
    </row>
    <row r="90" spans="1:23" ht="12" x14ac:dyDescent="0.25">
      <c r="A90" s="17">
        <v>45845</v>
      </c>
      <c r="B90" s="10" t="s">
        <v>101</v>
      </c>
      <c r="C90" s="11">
        <v>20</v>
      </c>
      <c r="D90" s="12">
        <v>125000</v>
      </c>
      <c r="E90" s="21">
        <f t="shared" si="18"/>
        <v>2500000</v>
      </c>
      <c r="G90" s="17"/>
      <c r="H90" s="18"/>
      <c r="I90" s="19"/>
      <c r="J90" s="22"/>
      <c r="K90" s="22">
        <f t="shared" si="19"/>
        <v>0</v>
      </c>
      <c r="M90" s="17"/>
      <c r="N90" s="18"/>
      <c r="O90" s="19"/>
      <c r="P90" s="22"/>
      <c r="Q90" s="22">
        <f t="shared" si="20"/>
        <v>0</v>
      </c>
      <c r="S90" s="17"/>
      <c r="T90" s="18"/>
      <c r="U90" s="19"/>
      <c r="V90" s="22"/>
      <c r="W90" s="22">
        <f t="shared" si="21"/>
        <v>0</v>
      </c>
    </row>
    <row r="91" spans="1:23" ht="12" x14ac:dyDescent="0.25">
      <c r="A91" s="17">
        <v>45849</v>
      </c>
      <c r="B91" s="10" t="s">
        <v>101</v>
      </c>
      <c r="C91" s="11">
        <v>9</v>
      </c>
      <c r="D91" s="12">
        <v>122000</v>
      </c>
      <c r="E91" s="21">
        <f t="shared" si="18"/>
        <v>1098000</v>
      </c>
      <c r="G91" s="17"/>
      <c r="H91" s="18"/>
      <c r="I91" s="19"/>
      <c r="J91" s="22"/>
      <c r="K91" s="22">
        <f t="shared" si="19"/>
        <v>0</v>
      </c>
      <c r="M91" s="17"/>
      <c r="N91" s="18"/>
      <c r="O91" s="19"/>
      <c r="P91" s="22"/>
      <c r="Q91" s="22">
        <f t="shared" si="20"/>
        <v>0</v>
      </c>
      <c r="S91" s="17"/>
      <c r="T91" s="18"/>
      <c r="U91" s="19"/>
      <c r="V91" s="22"/>
      <c r="W91" s="22">
        <f t="shared" si="21"/>
        <v>0</v>
      </c>
    </row>
    <row r="92" spans="1:23" ht="12" x14ac:dyDescent="0.25">
      <c r="A92" s="17">
        <v>45849</v>
      </c>
      <c r="B92" s="10" t="s">
        <v>110</v>
      </c>
      <c r="C92" s="11">
        <v>4</v>
      </c>
      <c r="D92" s="12">
        <v>100000</v>
      </c>
      <c r="E92" s="21">
        <f t="shared" si="18"/>
        <v>400000</v>
      </c>
      <c r="G92" s="17"/>
      <c r="H92" s="18"/>
      <c r="I92" s="19"/>
      <c r="J92" s="22"/>
      <c r="K92" s="22">
        <f t="shared" si="19"/>
        <v>0</v>
      </c>
      <c r="M92" s="17"/>
      <c r="N92" s="18"/>
      <c r="O92" s="19"/>
      <c r="P92" s="22"/>
      <c r="Q92" s="22">
        <f t="shared" si="20"/>
        <v>0</v>
      </c>
      <c r="S92" s="17"/>
      <c r="T92" s="18"/>
      <c r="U92" s="19"/>
      <c r="V92" s="22"/>
      <c r="W92" s="22">
        <f t="shared" si="21"/>
        <v>0</v>
      </c>
    </row>
    <row r="93" spans="1:23" ht="12" x14ac:dyDescent="0.25">
      <c r="A93" s="13">
        <v>45868</v>
      </c>
      <c r="B93" s="10" t="s">
        <v>111</v>
      </c>
      <c r="C93" s="11">
        <v>10</v>
      </c>
      <c r="D93" s="12">
        <v>270000</v>
      </c>
      <c r="E93" s="21">
        <f t="shared" si="18"/>
        <v>2700000</v>
      </c>
      <c r="G93" s="17"/>
      <c r="H93" s="18"/>
      <c r="I93" s="19"/>
      <c r="J93" s="22"/>
      <c r="K93" s="22">
        <f t="shared" si="19"/>
        <v>0</v>
      </c>
      <c r="M93" s="17"/>
      <c r="N93" s="18"/>
      <c r="O93" s="19"/>
      <c r="P93" s="22"/>
      <c r="Q93" s="22">
        <f t="shared" si="20"/>
        <v>0</v>
      </c>
      <c r="S93" s="17"/>
      <c r="T93" s="18"/>
      <c r="U93" s="19"/>
      <c r="V93" s="22"/>
      <c r="W93" s="22">
        <f t="shared" si="21"/>
        <v>0</v>
      </c>
    </row>
    <row r="94" spans="1:23" ht="12" x14ac:dyDescent="0.25">
      <c r="A94" s="13">
        <v>45868</v>
      </c>
      <c r="B94" s="10" t="s">
        <v>30</v>
      </c>
      <c r="C94" s="11">
        <f>50/12</f>
        <v>4.166666666666667</v>
      </c>
      <c r="D94" s="12">
        <v>360000</v>
      </c>
      <c r="E94" s="21">
        <f t="shared" si="18"/>
        <v>1500000</v>
      </c>
      <c r="G94" s="17"/>
      <c r="H94" s="18"/>
      <c r="I94" s="19"/>
      <c r="J94" s="22"/>
      <c r="K94" s="22"/>
      <c r="M94" s="17"/>
      <c r="N94" s="18"/>
      <c r="O94" s="19"/>
      <c r="P94" s="22"/>
      <c r="Q94" s="22">
        <f t="shared" si="20"/>
        <v>0</v>
      </c>
      <c r="S94" s="17"/>
      <c r="T94" s="18"/>
      <c r="U94" s="19"/>
      <c r="V94" s="22"/>
      <c r="W94" s="22"/>
    </row>
    <row r="95" spans="1:23" x14ac:dyDescent="0.2">
      <c r="E95" s="24">
        <f>SUM(E80:E94)</f>
        <v>26892000</v>
      </c>
      <c r="K95" s="24">
        <f>SUM(K80:K94)</f>
        <v>7890000</v>
      </c>
      <c r="Q95" s="24">
        <f>SUM(Q80:Q94)</f>
        <v>1360000</v>
      </c>
      <c r="V95" s="24"/>
      <c r="W95" s="24">
        <f>SUM(W80:W94)</f>
        <v>0</v>
      </c>
    </row>
    <row r="98" spans="1:23" x14ac:dyDescent="0.2">
      <c r="A98" s="33" t="s">
        <v>136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spans="1:23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spans="1:23" x14ac:dyDescent="0.2">
      <c r="A100" s="34" t="s">
        <v>0</v>
      </c>
      <c r="B100" s="34" t="s">
        <v>1</v>
      </c>
      <c r="C100" s="38" t="s">
        <v>4</v>
      </c>
      <c r="D100" s="36" t="s">
        <v>2</v>
      </c>
      <c r="E100" s="36" t="s">
        <v>3</v>
      </c>
      <c r="G100" s="34" t="s">
        <v>0</v>
      </c>
      <c r="H100" s="34" t="s">
        <v>13</v>
      </c>
      <c r="I100" s="34" t="s">
        <v>4</v>
      </c>
      <c r="J100" s="36" t="s">
        <v>2</v>
      </c>
      <c r="K100" s="36" t="s">
        <v>3</v>
      </c>
      <c r="M100" s="34" t="s">
        <v>0</v>
      </c>
      <c r="N100" s="34" t="s">
        <v>14</v>
      </c>
      <c r="O100" s="34" t="s">
        <v>4</v>
      </c>
      <c r="P100" s="36" t="s">
        <v>2</v>
      </c>
      <c r="Q100" s="36" t="s">
        <v>3</v>
      </c>
      <c r="S100" s="34" t="s">
        <v>0</v>
      </c>
      <c r="T100" s="34" t="s">
        <v>20</v>
      </c>
      <c r="U100" s="34" t="s">
        <v>4</v>
      </c>
      <c r="V100" s="36" t="s">
        <v>2</v>
      </c>
      <c r="W100" s="36" t="s">
        <v>3</v>
      </c>
    </row>
    <row r="101" spans="1:23" x14ac:dyDescent="0.2">
      <c r="A101" s="35"/>
      <c r="B101" s="35"/>
      <c r="C101" s="39"/>
      <c r="D101" s="37"/>
      <c r="E101" s="37"/>
      <c r="G101" s="35"/>
      <c r="H101" s="35"/>
      <c r="I101" s="35"/>
      <c r="J101" s="37"/>
      <c r="K101" s="37"/>
      <c r="M101" s="35"/>
      <c r="N101" s="35"/>
      <c r="O101" s="35"/>
      <c r="P101" s="37"/>
      <c r="Q101" s="37"/>
      <c r="S101" s="35"/>
      <c r="T101" s="35"/>
      <c r="U101" s="35"/>
      <c r="V101" s="37"/>
      <c r="W101" s="37"/>
    </row>
    <row r="102" spans="1:23" ht="12" x14ac:dyDescent="0.25">
      <c r="A102" s="17">
        <v>45870</v>
      </c>
      <c r="B102" s="10" t="s">
        <v>29</v>
      </c>
      <c r="C102" s="11">
        <v>25</v>
      </c>
      <c r="D102" s="12">
        <v>120000</v>
      </c>
      <c r="E102" s="21">
        <f t="shared" ref="E102:E124" si="22">C102*D102</f>
        <v>3000000</v>
      </c>
      <c r="G102" s="17">
        <v>45901</v>
      </c>
      <c r="H102" s="10" t="s">
        <v>127</v>
      </c>
      <c r="I102" s="19">
        <v>8</v>
      </c>
      <c r="J102" s="20">
        <v>240000</v>
      </c>
      <c r="K102" s="22">
        <f t="shared" ref="K102:K124" si="23">I102*J102</f>
        <v>1920000</v>
      </c>
      <c r="M102" s="17">
        <v>45930</v>
      </c>
      <c r="N102" s="10" t="s">
        <v>128</v>
      </c>
      <c r="O102" s="11">
        <v>22</v>
      </c>
      <c r="P102" s="12">
        <v>180000</v>
      </c>
      <c r="Q102" s="22">
        <f t="shared" ref="Q102:Q124" si="24">O102*P102</f>
        <v>3960000</v>
      </c>
      <c r="S102" s="17">
        <v>45901</v>
      </c>
      <c r="T102" s="10" t="s">
        <v>104</v>
      </c>
      <c r="U102" s="11">
        <v>50</v>
      </c>
      <c r="V102" s="12">
        <v>135000</v>
      </c>
      <c r="W102" s="21">
        <f t="shared" ref="W102:W124" si="25">U102*V102</f>
        <v>6750000</v>
      </c>
    </row>
    <row r="103" spans="1:23" ht="12" x14ac:dyDescent="0.25">
      <c r="A103" s="17">
        <v>45873</v>
      </c>
      <c r="B103" s="10" t="s">
        <v>129</v>
      </c>
      <c r="C103" s="11">
        <v>12</v>
      </c>
      <c r="D103" s="12">
        <v>115000</v>
      </c>
      <c r="E103" s="21">
        <f t="shared" si="22"/>
        <v>1380000</v>
      </c>
      <c r="G103" s="17"/>
      <c r="H103" s="10" t="s">
        <v>130</v>
      </c>
      <c r="I103" s="11">
        <v>3</v>
      </c>
      <c r="J103" s="20">
        <v>155000</v>
      </c>
      <c r="K103" s="22">
        <f t="shared" si="23"/>
        <v>465000</v>
      </c>
      <c r="M103" s="17"/>
      <c r="N103" s="10"/>
      <c r="O103" s="11"/>
      <c r="P103" s="12"/>
      <c r="Q103" s="22">
        <f t="shared" si="24"/>
        <v>0</v>
      </c>
      <c r="S103" s="17">
        <v>45908</v>
      </c>
      <c r="T103" s="10" t="s">
        <v>131</v>
      </c>
      <c r="U103" s="11">
        <v>30</v>
      </c>
      <c r="V103" s="12">
        <v>40000</v>
      </c>
      <c r="W103" s="22">
        <f t="shared" si="25"/>
        <v>1200000</v>
      </c>
    </row>
    <row r="104" spans="1:23" ht="12" x14ac:dyDescent="0.25">
      <c r="A104" s="17">
        <v>45873</v>
      </c>
      <c r="B104" s="10" t="s">
        <v>129</v>
      </c>
      <c r="C104" s="11">
        <v>12</v>
      </c>
      <c r="D104" s="12">
        <v>115000</v>
      </c>
      <c r="E104" s="21">
        <f t="shared" si="22"/>
        <v>1380000</v>
      </c>
      <c r="G104" s="17"/>
      <c r="H104" s="10" t="s">
        <v>127</v>
      </c>
      <c r="I104" s="11">
        <v>6</v>
      </c>
      <c r="J104" s="27">
        <v>240000</v>
      </c>
      <c r="K104" s="22">
        <f t="shared" si="23"/>
        <v>1440000</v>
      </c>
      <c r="M104" s="17"/>
      <c r="N104" s="10"/>
      <c r="O104" s="11"/>
      <c r="P104" s="12"/>
      <c r="Q104" s="4">
        <f t="shared" si="24"/>
        <v>0</v>
      </c>
      <c r="S104" s="17"/>
      <c r="T104" s="10"/>
      <c r="U104" s="11"/>
      <c r="V104" s="12"/>
      <c r="W104" s="22">
        <f t="shared" si="25"/>
        <v>0</v>
      </c>
    </row>
    <row r="105" spans="1:23" ht="12" x14ac:dyDescent="0.25">
      <c r="A105" s="17">
        <v>45874</v>
      </c>
      <c r="B105" s="10" t="s">
        <v>107</v>
      </c>
      <c r="C105" s="11">
        <v>30</v>
      </c>
      <c r="D105" s="12">
        <v>105000</v>
      </c>
      <c r="E105" s="21">
        <f t="shared" si="22"/>
        <v>3150000</v>
      </c>
      <c r="G105" s="17"/>
      <c r="H105" s="10"/>
      <c r="I105" s="11"/>
      <c r="J105" s="27"/>
      <c r="K105" s="22">
        <f t="shared" si="23"/>
        <v>0</v>
      </c>
      <c r="M105" s="17"/>
      <c r="N105" s="10"/>
      <c r="O105" s="11"/>
      <c r="P105" s="12"/>
      <c r="Q105" s="4">
        <f t="shared" si="24"/>
        <v>0</v>
      </c>
      <c r="S105" s="17"/>
      <c r="T105" s="10"/>
      <c r="U105" s="11"/>
      <c r="V105" s="12"/>
      <c r="W105" s="22">
        <f t="shared" si="25"/>
        <v>0</v>
      </c>
    </row>
    <row r="106" spans="1:23" ht="12" x14ac:dyDescent="0.25">
      <c r="A106" s="17">
        <v>45885</v>
      </c>
      <c r="B106" s="10" t="s">
        <v>90</v>
      </c>
      <c r="C106" s="11">
        <v>50</v>
      </c>
      <c r="D106" s="12">
        <v>115000</v>
      </c>
      <c r="E106" s="21">
        <f t="shared" si="22"/>
        <v>5750000</v>
      </c>
      <c r="G106" s="17"/>
      <c r="H106" s="10"/>
      <c r="I106" s="19"/>
      <c r="J106" s="20"/>
      <c r="K106" s="22">
        <f t="shared" si="23"/>
        <v>0</v>
      </c>
      <c r="M106" s="3"/>
      <c r="N106" s="10"/>
      <c r="O106" s="11"/>
      <c r="P106" s="12"/>
      <c r="Q106" s="4">
        <f t="shared" si="24"/>
        <v>0</v>
      </c>
      <c r="S106" s="17"/>
      <c r="T106" s="10"/>
      <c r="U106" s="19"/>
      <c r="V106" s="22"/>
      <c r="W106" s="22">
        <f t="shared" si="25"/>
        <v>0</v>
      </c>
    </row>
    <row r="107" spans="1:23" ht="12" x14ac:dyDescent="0.25">
      <c r="A107" s="17">
        <v>45890</v>
      </c>
      <c r="B107" s="10" t="s">
        <v>92</v>
      </c>
      <c r="C107" s="11">
        <f>160/5.5</f>
        <v>29.09090909090909</v>
      </c>
      <c r="D107" s="12">
        <f>25000*5.5</f>
        <v>137500</v>
      </c>
      <c r="E107" s="21">
        <f t="shared" si="22"/>
        <v>4000000</v>
      </c>
      <c r="G107" s="17"/>
      <c r="H107" s="10"/>
      <c r="I107" s="11"/>
      <c r="J107" s="27"/>
      <c r="K107" s="22">
        <f t="shared" si="23"/>
        <v>0</v>
      </c>
      <c r="M107" s="3"/>
      <c r="N107" s="10"/>
      <c r="O107" s="11"/>
      <c r="P107" s="12"/>
      <c r="Q107" s="4">
        <f t="shared" si="24"/>
        <v>0</v>
      </c>
      <c r="S107" s="17"/>
      <c r="T107" s="10"/>
      <c r="U107" s="19"/>
      <c r="V107" s="22"/>
      <c r="W107" s="22">
        <f t="shared" si="25"/>
        <v>0</v>
      </c>
    </row>
    <row r="108" spans="1:23" ht="12" x14ac:dyDescent="0.25">
      <c r="A108" s="17">
        <v>45895</v>
      </c>
      <c r="B108" s="10" t="s">
        <v>132</v>
      </c>
      <c r="C108" s="11">
        <v>10</v>
      </c>
      <c r="D108" s="12">
        <v>100000</v>
      </c>
      <c r="E108" s="21">
        <f t="shared" si="22"/>
        <v>1000000</v>
      </c>
      <c r="G108" s="17"/>
      <c r="H108" s="18"/>
      <c r="I108" s="19"/>
      <c r="J108" s="20"/>
      <c r="K108" s="22">
        <f t="shared" si="23"/>
        <v>0</v>
      </c>
      <c r="M108" s="17"/>
      <c r="N108" s="10"/>
      <c r="O108" s="19"/>
      <c r="P108" s="22"/>
      <c r="Q108" s="22">
        <f t="shared" si="24"/>
        <v>0</v>
      </c>
      <c r="S108" s="17"/>
      <c r="T108" s="18"/>
      <c r="U108" s="19"/>
      <c r="V108" s="22"/>
      <c r="W108" s="22">
        <f t="shared" si="25"/>
        <v>0</v>
      </c>
    </row>
    <row r="109" spans="1:23" ht="12" x14ac:dyDescent="0.25">
      <c r="A109" s="17">
        <v>45895</v>
      </c>
      <c r="B109" s="10" t="s">
        <v>73</v>
      </c>
      <c r="C109" s="11">
        <v>20</v>
      </c>
      <c r="D109" s="12">
        <v>115000</v>
      </c>
      <c r="E109" s="21">
        <f t="shared" si="22"/>
        <v>2300000</v>
      </c>
      <c r="G109" s="17"/>
      <c r="H109" s="18"/>
      <c r="I109" s="19"/>
      <c r="J109" s="22"/>
      <c r="K109" s="22">
        <f t="shared" si="23"/>
        <v>0</v>
      </c>
      <c r="M109" s="17"/>
      <c r="N109" s="18"/>
      <c r="O109" s="19"/>
      <c r="P109" s="12"/>
      <c r="Q109" s="22">
        <f t="shared" si="24"/>
        <v>0</v>
      </c>
      <c r="S109" s="17"/>
      <c r="T109" s="10"/>
      <c r="U109" s="11"/>
      <c r="V109" s="12"/>
      <c r="W109" s="22">
        <f t="shared" si="25"/>
        <v>0</v>
      </c>
    </row>
    <row r="110" spans="1:23" ht="12" x14ac:dyDescent="0.25">
      <c r="A110" s="17">
        <v>45895</v>
      </c>
      <c r="B110" s="10" t="s">
        <v>98</v>
      </c>
      <c r="C110" s="11">
        <v>15</v>
      </c>
      <c r="D110" s="12">
        <v>125000</v>
      </c>
      <c r="E110" s="21">
        <f t="shared" si="22"/>
        <v>1875000</v>
      </c>
      <c r="G110" s="17"/>
      <c r="H110" s="18"/>
      <c r="I110" s="19"/>
      <c r="J110" s="22"/>
      <c r="K110" s="22">
        <f t="shared" si="23"/>
        <v>0</v>
      </c>
      <c r="M110" s="17"/>
      <c r="N110" s="18"/>
      <c r="O110" s="19"/>
      <c r="P110" s="22"/>
      <c r="Q110" s="22">
        <f t="shared" si="24"/>
        <v>0</v>
      </c>
      <c r="S110" s="17"/>
      <c r="T110" s="10"/>
      <c r="U110" s="11"/>
      <c r="V110" s="12"/>
      <c r="W110" s="22">
        <f t="shared" si="25"/>
        <v>0</v>
      </c>
    </row>
    <row r="111" spans="1:23" ht="12" x14ac:dyDescent="0.25">
      <c r="A111" s="17">
        <v>45898</v>
      </c>
      <c r="B111" s="10" t="s">
        <v>98</v>
      </c>
      <c r="C111" s="11">
        <v>10</v>
      </c>
      <c r="D111" s="12">
        <v>125000</v>
      </c>
      <c r="E111" s="21">
        <f t="shared" si="22"/>
        <v>1250000</v>
      </c>
      <c r="G111" s="17"/>
      <c r="H111" s="18"/>
      <c r="I111" s="19"/>
      <c r="J111" s="20"/>
      <c r="K111" s="22">
        <f t="shared" si="23"/>
        <v>0</v>
      </c>
      <c r="M111" s="17"/>
      <c r="N111" s="18"/>
      <c r="O111" s="19"/>
      <c r="P111" s="22"/>
      <c r="Q111" s="22">
        <f t="shared" si="24"/>
        <v>0</v>
      </c>
      <c r="S111" s="17"/>
      <c r="T111" s="18"/>
      <c r="U111" s="19"/>
      <c r="V111" s="22"/>
      <c r="W111" s="22">
        <f t="shared" si="25"/>
        <v>0</v>
      </c>
    </row>
    <row r="112" spans="1:23" ht="12" x14ac:dyDescent="0.25">
      <c r="A112" s="17">
        <v>45899</v>
      </c>
      <c r="B112" s="10" t="s">
        <v>104</v>
      </c>
      <c r="C112" s="11">
        <v>50</v>
      </c>
      <c r="D112" s="12">
        <v>125000</v>
      </c>
      <c r="E112" s="21">
        <f t="shared" si="22"/>
        <v>6250000</v>
      </c>
      <c r="G112" s="17"/>
      <c r="H112" s="18"/>
      <c r="I112" s="19"/>
      <c r="J112" s="22"/>
      <c r="K112" s="22">
        <f t="shared" si="23"/>
        <v>0</v>
      </c>
      <c r="M112" s="17"/>
      <c r="N112" s="18"/>
      <c r="O112" s="19"/>
      <c r="P112" s="22"/>
      <c r="Q112" s="22">
        <f t="shared" si="24"/>
        <v>0</v>
      </c>
      <c r="S112" s="17"/>
      <c r="T112" s="18"/>
      <c r="U112" s="19"/>
      <c r="V112" s="22"/>
      <c r="W112" s="22">
        <f t="shared" si="25"/>
        <v>0</v>
      </c>
    </row>
    <row r="113" spans="1:23" ht="12" x14ac:dyDescent="0.25">
      <c r="A113" s="17">
        <v>45904</v>
      </c>
      <c r="B113" s="10" t="s">
        <v>133</v>
      </c>
      <c r="C113" s="11">
        <v>30</v>
      </c>
      <c r="D113" s="12">
        <v>120000</v>
      </c>
      <c r="E113" s="21">
        <f t="shared" si="22"/>
        <v>3600000</v>
      </c>
      <c r="G113" s="17"/>
      <c r="H113" s="18"/>
      <c r="I113" s="19"/>
      <c r="J113" s="22"/>
      <c r="K113" s="22">
        <f t="shared" si="23"/>
        <v>0</v>
      </c>
      <c r="M113" s="17"/>
      <c r="N113" s="18"/>
      <c r="O113" s="19"/>
      <c r="P113" s="22"/>
      <c r="Q113" s="22">
        <f t="shared" si="24"/>
        <v>0</v>
      </c>
      <c r="S113" s="17"/>
      <c r="T113" s="18"/>
      <c r="U113" s="19"/>
      <c r="V113" s="22"/>
      <c r="W113" s="22">
        <f t="shared" si="25"/>
        <v>0</v>
      </c>
    </row>
    <row r="114" spans="1:23" ht="12" x14ac:dyDescent="0.25">
      <c r="A114" s="17">
        <v>45912</v>
      </c>
      <c r="B114" s="10" t="s">
        <v>111</v>
      </c>
      <c r="C114" s="11">
        <v>5</v>
      </c>
      <c r="D114" s="12">
        <v>220000</v>
      </c>
      <c r="E114" s="21">
        <f t="shared" si="22"/>
        <v>1100000</v>
      </c>
      <c r="G114" s="17"/>
      <c r="H114" s="18"/>
      <c r="I114" s="19"/>
      <c r="J114" s="22"/>
      <c r="K114" s="22">
        <f t="shared" si="23"/>
        <v>0</v>
      </c>
      <c r="M114" s="17"/>
      <c r="N114" s="18"/>
      <c r="O114" s="19"/>
      <c r="P114" s="22"/>
      <c r="Q114" s="22">
        <f t="shared" si="24"/>
        <v>0</v>
      </c>
      <c r="S114" s="17"/>
      <c r="T114" s="18"/>
      <c r="U114" s="19"/>
      <c r="V114" s="22"/>
      <c r="W114" s="22">
        <f t="shared" si="25"/>
        <v>0</v>
      </c>
    </row>
    <row r="115" spans="1:23" ht="12" x14ac:dyDescent="0.25">
      <c r="A115" s="17">
        <v>45912</v>
      </c>
      <c r="B115" s="10" t="s">
        <v>78</v>
      </c>
      <c r="C115" s="11">
        <v>3</v>
      </c>
      <c r="D115" s="12">
        <v>135000</v>
      </c>
      <c r="E115" s="21">
        <f t="shared" si="22"/>
        <v>405000</v>
      </c>
      <c r="G115" s="17"/>
      <c r="H115" s="18"/>
      <c r="I115" s="19"/>
      <c r="J115" s="22"/>
      <c r="K115" s="22">
        <f t="shared" si="23"/>
        <v>0</v>
      </c>
      <c r="M115" s="17"/>
      <c r="N115" s="18"/>
      <c r="O115" s="19"/>
      <c r="P115" s="22"/>
      <c r="Q115" s="22">
        <f t="shared" si="24"/>
        <v>0</v>
      </c>
      <c r="S115" s="17"/>
      <c r="T115" s="18"/>
      <c r="U115" s="19"/>
      <c r="V115" s="22"/>
      <c r="W115" s="22">
        <f t="shared" si="25"/>
        <v>0</v>
      </c>
    </row>
    <row r="116" spans="1:23" ht="12" x14ac:dyDescent="0.25">
      <c r="A116" s="13">
        <v>45917</v>
      </c>
      <c r="B116" s="10" t="s">
        <v>111</v>
      </c>
      <c r="C116" s="11">
        <v>5</v>
      </c>
      <c r="D116" s="12">
        <v>220000</v>
      </c>
      <c r="E116" s="21">
        <f t="shared" si="22"/>
        <v>1100000</v>
      </c>
      <c r="G116" s="17"/>
      <c r="H116" s="18"/>
      <c r="I116" s="19"/>
      <c r="J116" s="22"/>
      <c r="K116" s="22"/>
      <c r="M116" s="17"/>
      <c r="N116" s="18"/>
      <c r="O116" s="19"/>
      <c r="P116" s="22"/>
      <c r="Q116" s="22">
        <f t="shared" si="24"/>
        <v>0</v>
      </c>
      <c r="S116" s="17"/>
      <c r="T116" s="18"/>
      <c r="U116" s="19"/>
      <c r="V116" s="22"/>
      <c r="W116" s="22"/>
    </row>
    <row r="117" spans="1:23" ht="12" x14ac:dyDescent="0.25">
      <c r="A117" s="17">
        <v>45923</v>
      </c>
      <c r="B117" s="10" t="s">
        <v>134</v>
      </c>
      <c r="C117" s="11">
        <v>30</v>
      </c>
      <c r="D117" s="12">
        <v>25000</v>
      </c>
      <c r="E117" s="21">
        <f t="shared" si="22"/>
        <v>750000</v>
      </c>
      <c r="G117" s="17"/>
      <c r="H117" s="18"/>
      <c r="I117" s="19"/>
      <c r="J117" s="22"/>
      <c r="K117" s="22"/>
      <c r="M117" s="17"/>
      <c r="N117" s="18"/>
      <c r="O117" s="19"/>
      <c r="P117" s="22"/>
      <c r="Q117" s="22">
        <f t="shared" si="24"/>
        <v>0</v>
      </c>
      <c r="S117" s="17"/>
      <c r="T117" s="18"/>
      <c r="U117" s="19"/>
      <c r="V117" s="22"/>
      <c r="W117" s="22"/>
    </row>
    <row r="118" spans="1:23" ht="12" x14ac:dyDescent="0.25">
      <c r="A118" s="17">
        <v>45924</v>
      </c>
      <c r="B118" s="10" t="s">
        <v>134</v>
      </c>
      <c r="C118" s="11">
        <v>10</v>
      </c>
      <c r="D118" s="12">
        <v>25000</v>
      </c>
      <c r="E118" s="21">
        <f t="shared" si="22"/>
        <v>250000</v>
      </c>
      <c r="G118" s="17"/>
      <c r="H118" s="18"/>
      <c r="I118" s="19"/>
      <c r="J118" s="22"/>
      <c r="K118" s="22"/>
      <c r="M118" s="17"/>
      <c r="N118" s="18"/>
      <c r="O118" s="19"/>
      <c r="P118" s="22"/>
      <c r="Q118" s="22">
        <f t="shared" si="24"/>
        <v>0</v>
      </c>
      <c r="S118" s="17"/>
      <c r="T118" s="18"/>
      <c r="U118" s="19"/>
      <c r="V118" s="22"/>
      <c r="W118" s="22"/>
    </row>
    <row r="119" spans="1:23" ht="12" x14ac:dyDescent="0.25">
      <c r="A119" s="17">
        <v>45931</v>
      </c>
      <c r="B119" s="10" t="s">
        <v>108</v>
      </c>
      <c r="C119" s="11">
        <v>25</v>
      </c>
      <c r="D119" s="12">
        <v>95000</v>
      </c>
      <c r="E119" s="21">
        <f t="shared" si="22"/>
        <v>2375000</v>
      </c>
      <c r="G119" s="17"/>
      <c r="H119" s="18"/>
      <c r="I119" s="19"/>
      <c r="J119" s="22"/>
      <c r="K119" s="22"/>
      <c r="M119" s="17"/>
      <c r="N119" s="18"/>
      <c r="O119" s="19"/>
      <c r="P119" s="22"/>
      <c r="Q119" s="22">
        <f t="shared" si="24"/>
        <v>0</v>
      </c>
      <c r="S119" s="17"/>
      <c r="T119" s="18"/>
      <c r="U119" s="19"/>
      <c r="V119" s="22"/>
      <c r="W119" s="22"/>
    </row>
    <row r="120" spans="1:23" ht="12" x14ac:dyDescent="0.25">
      <c r="A120" s="17">
        <v>45933</v>
      </c>
      <c r="B120" s="10" t="s">
        <v>61</v>
      </c>
      <c r="C120" s="11">
        <v>2</v>
      </c>
      <c r="D120" s="12">
        <v>180000</v>
      </c>
      <c r="E120" s="21">
        <f t="shared" si="22"/>
        <v>360000</v>
      </c>
      <c r="G120" s="17"/>
      <c r="H120" s="18"/>
      <c r="I120" s="19"/>
      <c r="J120" s="22"/>
      <c r="K120" s="22"/>
      <c r="M120" s="17"/>
      <c r="N120" s="18"/>
      <c r="O120" s="19"/>
      <c r="P120" s="22"/>
      <c r="Q120" s="22">
        <f t="shared" si="24"/>
        <v>0</v>
      </c>
      <c r="S120" s="17"/>
      <c r="T120" s="18"/>
      <c r="U120" s="19"/>
      <c r="V120" s="22"/>
      <c r="W120" s="22"/>
    </row>
    <row r="121" spans="1:23" ht="12" x14ac:dyDescent="0.25">
      <c r="A121" s="17">
        <v>45933</v>
      </c>
      <c r="B121" s="10" t="s">
        <v>135</v>
      </c>
      <c r="C121" s="11">
        <v>15</v>
      </c>
      <c r="D121" s="12">
        <v>150000</v>
      </c>
      <c r="E121" s="21">
        <f t="shared" si="22"/>
        <v>2250000</v>
      </c>
      <c r="G121" s="17"/>
      <c r="H121" s="18"/>
      <c r="I121" s="19"/>
      <c r="J121" s="22"/>
      <c r="K121" s="22"/>
      <c r="M121" s="17"/>
      <c r="N121" s="18"/>
      <c r="O121" s="19"/>
      <c r="P121" s="22"/>
      <c r="Q121" s="22">
        <f t="shared" si="24"/>
        <v>0</v>
      </c>
      <c r="S121" s="17"/>
      <c r="T121" s="18"/>
      <c r="U121" s="19"/>
      <c r="V121" s="22"/>
      <c r="W121" s="22"/>
    </row>
    <row r="122" spans="1:23" ht="12" x14ac:dyDescent="0.25">
      <c r="A122" s="17"/>
      <c r="B122" s="10"/>
      <c r="C122" s="11"/>
      <c r="D122" s="12"/>
      <c r="E122" s="21">
        <f t="shared" si="22"/>
        <v>0</v>
      </c>
      <c r="G122" s="17"/>
      <c r="H122" s="18"/>
      <c r="I122" s="19"/>
      <c r="J122" s="22"/>
      <c r="K122" s="22"/>
      <c r="M122" s="17"/>
      <c r="N122" s="18"/>
      <c r="O122" s="19"/>
      <c r="P122" s="22"/>
      <c r="Q122" s="22">
        <f t="shared" si="24"/>
        <v>0</v>
      </c>
      <c r="S122" s="17"/>
      <c r="T122" s="18"/>
      <c r="U122" s="19"/>
      <c r="V122" s="22"/>
      <c r="W122" s="22"/>
    </row>
    <row r="123" spans="1:23" ht="12" x14ac:dyDescent="0.25">
      <c r="A123" s="17"/>
      <c r="B123" s="10"/>
      <c r="C123" s="19"/>
      <c r="D123" s="20"/>
      <c r="E123" s="21">
        <f t="shared" si="22"/>
        <v>0</v>
      </c>
      <c r="G123" s="17"/>
      <c r="H123" s="18"/>
      <c r="I123" s="19"/>
      <c r="J123" s="22"/>
      <c r="K123" s="22">
        <f t="shared" si="23"/>
        <v>0</v>
      </c>
      <c r="M123" s="17"/>
      <c r="N123" s="18"/>
      <c r="O123" s="19"/>
      <c r="P123" s="22"/>
      <c r="Q123" s="22">
        <f t="shared" si="24"/>
        <v>0</v>
      </c>
      <c r="S123" s="17"/>
      <c r="T123" s="10"/>
      <c r="U123" s="19"/>
      <c r="V123" s="22"/>
      <c r="W123" s="22">
        <f t="shared" si="25"/>
        <v>0</v>
      </c>
    </row>
    <row r="124" spans="1:23" x14ac:dyDescent="0.2">
      <c r="A124" s="17"/>
      <c r="B124" s="18"/>
      <c r="C124" s="19"/>
      <c r="D124" s="22"/>
      <c r="E124" s="21">
        <f t="shared" si="22"/>
        <v>0</v>
      </c>
      <c r="G124" s="17"/>
      <c r="H124" s="18"/>
      <c r="I124" s="19"/>
      <c r="J124" s="22"/>
      <c r="K124" s="22">
        <f t="shared" si="23"/>
        <v>0</v>
      </c>
      <c r="M124" s="17"/>
      <c r="N124" s="18"/>
      <c r="O124" s="19"/>
      <c r="P124" s="22"/>
      <c r="Q124" s="22">
        <f t="shared" si="24"/>
        <v>0</v>
      </c>
      <c r="S124" s="17"/>
      <c r="T124" s="18"/>
      <c r="U124" s="19"/>
      <c r="V124" s="22"/>
      <c r="W124" s="22">
        <f t="shared" si="25"/>
        <v>0</v>
      </c>
    </row>
    <row r="125" spans="1:23" x14ac:dyDescent="0.2">
      <c r="E125" s="24">
        <f>SUM(E102:E124)</f>
        <v>43525000</v>
      </c>
      <c r="K125" s="24">
        <f>SUM(K102:K124)</f>
        <v>3825000</v>
      </c>
      <c r="Q125" s="24">
        <f>SUM(Q102:Q124)</f>
        <v>3960000</v>
      </c>
      <c r="V125" s="24"/>
      <c r="W125" s="24">
        <f>SUM(W102:W124)</f>
        <v>7950000</v>
      </c>
    </row>
  </sheetData>
  <mergeCells count="126">
    <mergeCell ref="S100:S101"/>
    <mergeCell ref="T100:T101"/>
    <mergeCell ref="U100:U101"/>
    <mergeCell ref="V100:V101"/>
    <mergeCell ref="W100:W101"/>
    <mergeCell ref="A98:W99"/>
    <mergeCell ref="A100:A101"/>
    <mergeCell ref="B100:B101"/>
    <mergeCell ref="C100:C101"/>
    <mergeCell ref="D100:D101"/>
    <mergeCell ref="E100:E101"/>
    <mergeCell ref="G100:G101"/>
    <mergeCell ref="H100:H101"/>
    <mergeCell ref="I100:I101"/>
    <mergeCell ref="J100:J101"/>
    <mergeCell ref="K100:K101"/>
    <mergeCell ref="M100:M101"/>
    <mergeCell ref="N100:N101"/>
    <mergeCell ref="O100:O101"/>
    <mergeCell ref="P100:P101"/>
    <mergeCell ref="Q100:Q101"/>
    <mergeCell ref="M23:M24"/>
    <mergeCell ref="N23:N24"/>
    <mergeCell ref="O23:O24"/>
    <mergeCell ref="P23:P24"/>
    <mergeCell ref="Q23:Q24"/>
    <mergeCell ref="A21:W22"/>
    <mergeCell ref="S23:S24"/>
    <mergeCell ref="T23:T24"/>
    <mergeCell ref="U23:U24"/>
    <mergeCell ref="V23:V24"/>
    <mergeCell ref="W23:W24"/>
    <mergeCell ref="A23:A24"/>
    <mergeCell ref="B23:B24"/>
    <mergeCell ref="C23:C24"/>
    <mergeCell ref="D23:D24"/>
    <mergeCell ref="E23:E24"/>
    <mergeCell ref="G23:G24"/>
    <mergeCell ref="H23:H24"/>
    <mergeCell ref="I23:I24"/>
    <mergeCell ref="J23:J24"/>
    <mergeCell ref="K23:K24"/>
    <mergeCell ref="A1:W2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G3:G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  <mergeCell ref="A35:W36"/>
    <mergeCell ref="S37:S38"/>
    <mergeCell ref="T37:T38"/>
    <mergeCell ref="U37:U38"/>
    <mergeCell ref="V37:V38"/>
    <mergeCell ref="W37:W38"/>
    <mergeCell ref="A37:A38"/>
    <mergeCell ref="B37:B38"/>
    <mergeCell ref="C37:C38"/>
    <mergeCell ref="D37:D38"/>
    <mergeCell ref="E37:E38"/>
    <mergeCell ref="G37:G38"/>
    <mergeCell ref="H37:H38"/>
    <mergeCell ref="I37:I38"/>
    <mergeCell ref="J37:J38"/>
    <mergeCell ref="K37:K38"/>
    <mergeCell ref="M37:M38"/>
    <mergeCell ref="N37:N38"/>
    <mergeCell ref="O37:O38"/>
    <mergeCell ref="P37:P38"/>
    <mergeCell ref="Q37:Q38"/>
    <mergeCell ref="A50:W51"/>
    <mergeCell ref="S52:S53"/>
    <mergeCell ref="T52:T53"/>
    <mergeCell ref="U52:U53"/>
    <mergeCell ref="V52:V53"/>
    <mergeCell ref="W52:W53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K52:K53"/>
    <mergeCell ref="M52:M53"/>
    <mergeCell ref="N52:N53"/>
    <mergeCell ref="O52:O53"/>
    <mergeCell ref="P52:P53"/>
    <mergeCell ref="Q52:Q53"/>
    <mergeCell ref="A76:W77"/>
    <mergeCell ref="S78:S79"/>
    <mergeCell ref="T78:T79"/>
    <mergeCell ref="U78:U79"/>
    <mergeCell ref="V78:V79"/>
    <mergeCell ref="W78:W79"/>
    <mergeCell ref="A78:A79"/>
    <mergeCell ref="B78:B79"/>
    <mergeCell ref="C78:C79"/>
    <mergeCell ref="D78:D79"/>
    <mergeCell ref="E78:E79"/>
    <mergeCell ref="G78:G79"/>
    <mergeCell ref="H78:H79"/>
    <mergeCell ref="I78:I79"/>
    <mergeCell ref="J78:J79"/>
    <mergeCell ref="K78:K79"/>
    <mergeCell ref="M78:M79"/>
    <mergeCell ref="N78:N79"/>
    <mergeCell ref="O78:O79"/>
    <mergeCell ref="P78:P79"/>
    <mergeCell ref="Q78:Q79"/>
  </mergeCells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44" workbookViewId="0">
      <selection activeCell="A53" sqref="A53:W54"/>
    </sheetView>
  </sheetViews>
  <sheetFormatPr defaultColWidth="8.88671875" defaultRowHeight="10.199999999999999" x14ac:dyDescent="0.2"/>
  <cols>
    <col min="1" max="1" width="8.109375" style="16" bestFit="1" customWidth="1"/>
    <col min="2" max="2" width="22.6640625" style="16" bestFit="1" customWidth="1"/>
    <col min="3" max="3" width="5.44140625" style="16" bestFit="1" customWidth="1"/>
    <col min="4" max="4" width="6.6640625" style="24" bestFit="1" customWidth="1"/>
    <col min="5" max="5" width="7.77734375" style="24" bestFit="1" customWidth="1"/>
    <col min="6" max="6" width="2.88671875" style="16" customWidth="1"/>
    <col min="7" max="7" width="8.109375" style="16" bestFit="1" customWidth="1"/>
    <col min="8" max="8" width="19.33203125" style="16" bestFit="1" customWidth="1"/>
    <col min="9" max="9" width="6.21875" style="16" bestFit="1" customWidth="1"/>
    <col min="10" max="10" width="7" style="24" bestFit="1" customWidth="1"/>
    <col min="11" max="11" width="8.5546875" style="24" bestFit="1" customWidth="1"/>
    <col min="12" max="12" width="2.5546875" style="16" customWidth="1"/>
    <col min="13" max="13" width="8.109375" style="16" bestFit="1" customWidth="1"/>
    <col min="14" max="14" width="21.21875" style="16" bestFit="1" customWidth="1"/>
    <col min="15" max="15" width="6.21875" style="16" bestFit="1" customWidth="1"/>
    <col min="16" max="16" width="7" style="24" bestFit="1" customWidth="1"/>
    <col min="17" max="17" width="8.5546875" style="16" bestFit="1" customWidth="1"/>
    <col min="18" max="19" width="8.88671875" style="16"/>
    <col min="20" max="20" width="21.33203125" style="16" bestFit="1" customWidth="1"/>
    <col min="21" max="16384" width="8.88671875" style="16"/>
  </cols>
  <sheetData>
    <row r="1" spans="1:23" ht="12" customHeight="1" x14ac:dyDescent="0.2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x14ac:dyDescent="0.2">
      <c r="A3" s="34" t="s">
        <v>0</v>
      </c>
      <c r="B3" s="34" t="s">
        <v>5</v>
      </c>
      <c r="C3" s="34" t="s">
        <v>4</v>
      </c>
      <c r="D3" s="36" t="s">
        <v>2</v>
      </c>
      <c r="E3" s="36" t="s">
        <v>3</v>
      </c>
      <c r="G3" s="34" t="s">
        <v>0</v>
      </c>
      <c r="H3" s="34" t="s">
        <v>12</v>
      </c>
      <c r="I3" s="34" t="s">
        <v>4</v>
      </c>
      <c r="J3" s="36" t="s">
        <v>2</v>
      </c>
      <c r="K3" s="36" t="s">
        <v>3</v>
      </c>
      <c r="M3" s="34" t="s">
        <v>0</v>
      </c>
      <c r="N3" s="34" t="s">
        <v>15</v>
      </c>
      <c r="O3" s="34" t="s">
        <v>4</v>
      </c>
      <c r="P3" s="36" t="s">
        <v>2</v>
      </c>
      <c r="Q3" s="34" t="s">
        <v>3</v>
      </c>
      <c r="S3" s="34" t="s">
        <v>0</v>
      </c>
      <c r="T3" s="34" t="s">
        <v>21</v>
      </c>
      <c r="U3" s="34" t="s">
        <v>4</v>
      </c>
      <c r="V3" s="36" t="s">
        <v>2</v>
      </c>
      <c r="W3" s="34" t="s">
        <v>3</v>
      </c>
    </row>
    <row r="4" spans="1:23" x14ac:dyDescent="0.2">
      <c r="A4" s="35"/>
      <c r="B4" s="35"/>
      <c r="C4" s="35"/>
      <c r="D4" s="37"/>
      <c r="E4" s="37"/>
      <c r="G4" s="35"/>
      <c r="H4" s="35"/>
      <c r="I4" s="35"/>
      <c r="J4" s="37"/>
      <c r="K4" s="37"/>
      <c r="M4" s="35"/>
      <c r="N4" s="35"/>
      <c r="O4" s="35"/>
      <c r="P4" s="37"/>
      <c r="Q4" s="35"/>
      <c r="S4" s="35"/>
      <c r="T4" s="35"/>
      <c r="U4" s="35"/>
      <c r="V4" s="37"/>
      <c r="W4" s="35"/>
    </row>
    <row r="5" spans="1:23" ht="12" x14ac:dyDescent="0.25">
      <c r="A5" s="25"/>
      <c r="B5" s="10"/>
      <c r="C5" s="11"/>
      <c r="D5" s="20"/>
      <c r="E5" s="22">
        <f t="shared" ref="E5:E6" si="0">C5*D5</f>
        <v>0</v>
      </c>
      <c r="G5" s="17"/>
      <c r="H5" s="10"/>
      <c r="I5" s="11"/>
      <c r="J5" s="27"/>
      <c r="K5" s="22">
        <f t="shared" ref="K5:K6" si="1">I5*J5</f>
        <v>0</v>
      </c>
      <c r="M5" s="25">
        <v>45703</v>
      </c>
      <c r="N5" s="10" t="s">
        <v>38</v>
      </c>
      <c r="O5" s="11">
        <v>41</v>
      </c>
      <c r="P5" s="12">
        <v>240000</v>
      </c>
      <c r="Q5" s="22">
        <f t="shared" ref="Q5:Q6" si="2">O5*P5</f>
        <v>9840000</v>
      </c>
      <c r="S5" s="25"/>
      <c r="T5" s="10"/>
      <c r="U5" s="11"/>
      <c r="V5" s="12"/>
      <c r="W5" s="22">
        <f t="shared" ref="W5:W6" si="3">U5*V5</f>
        <v>0</v>
      </c>
    </row>
    <row r="6" spans="1:23" ht="12" x14ac:dyDescent="0.25">
      <c r="A6" s="25"/>
      <c r="B6" s="18"/>
      <c r="C6" s="19"/>
      <c r="D6" s="20"/>
      <c r="E6" s="22">
        <f t="shared" si="0"/>
        <v>0</v>
      </c>
      <c r="G6" s="17"/>
      <c r="H6" s="10"/>
      <c r="I6" s="11"/>
      <c r="J6" s="22"/>
      <c r="K6" s="22">
        <f t="shared" si="1"/>
        <v>0</v>
      </c>
      <c r="M6" s="25">
        <v>45719</v>
      </c>
      <c r="N6" s="10" t="s">
        <v>48</v>
      </c>
      <c r="O6" s="11">
        <f>40/5.5</f>
        <v>7.2727272727272725</v>
      </c>
      <c r="P6" s="12">
        <v>230000</v>
      </c>
      <c r="Q6" s="22">
        <f t="shared" si="2"/>
        <v>1672727.2727272727</v>
      </c>
      <c r="S6" s="25"/>
      <c r="T6" s="10"/>
      <c r="U6" s="11"/>
      <c r="V6" s="12"/>
      <c r="W6" s="22">
        <f t="shared" si="3"/>
        <v>0</v>
      </c>
    </row>
    <row r="7" spans="1:23" x14ac:dyDescent="0.2">
      <c r="E7" s="24">
        <f>SUM(E5:E6)</f>
        <v>0</v>
      </c>
      <c r="K7" s="24">
        <f>SUM(K5:K6)</f>
        <v>0</v>
      </c>
      <c r="Q7" s="24">
        <f>SUM(Q5:Q6)</f>
        <v>11512727.272727273</v>
      </c>
      <c r="V7" s="24"/>
      <c r="W7" s="24">
        <f>SUM(W5:W6)</f>
        <v>0</v>
      </c>
    </row>
    <row r="8" spans="1:23" x14ac:dyDescent="0.2">
      <c r="Q8" s="24"/>
    </row>
    <row r="9" spans="1:23" x14ac:dyDescent="0.2">
      <c r="A9" s="33" t="s">
        <v>52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spans="1:23" ht="12" customHeight="1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x14ac:dyDescent="0.2">
      <c r="A11" s="34" t="s">
        <v>0</v>
      </c>
      <c r="B11" s="34" t="s">
        <v>5</v>
      </c>
      <c r="C11" s="34" t="s">
        <v>4</v>
      </c>
      <c r="D11" s="36" t="s">
        <v>2</v>
      </c>
      <c r="E11" s="36" t="s">
        <v>3</v>
      </c>
      <c r="G11" s="34" t="s">
        <v>0</v>
      </c>
      <c r="H11" s="34" t="s">
        <v>12</v>
      </c>
      <c r="I11" s="34" t="s">
        <v>4</v>
      </c>
      <c r="J11" s="36" t="s">
        <v>2</v>
      </c>
      <c r="K11" s="36" t="s">
        <v>3</v>
      </c>
      <c r="M11" s="34" t="s">
        <v>0</v>
      </c>
      <c r="N11" s="34" t="s">
        <v>15</v>
      </c>
      <c r="O11" s="34" t="s">
        <v>4</v>
      </c>
      <c r="P11" s="36" t="s">
        <v>2</v>
      </c>
      <c r="Q11" s="34" t="s">
        <v>3</v>
      </c>
      <c r="S11" s="34" t="s">
        <v>0</v>
      </c>
      <c r="T11" s="34" t="s">
        <v>21</v>
      </c>
      <c r="U11" s="34" t="s">
        <v>4</v>
      </c>
      <c r="V11" s="36" t="s">
        <v>2</v>
      </c>
      <c r="W11" s="34" t="s">
        <v>3</v>
      </c>
    </row>
    <row r="12" spans="1:23" x14ac:dyDescent="0.2">
      <c r="A12" s="35"/>
      <c r="B12" s="35"/>
      <c r="C12" s="35"/>
      <c r="D12" s="37"/>
      <c r="E12" s="37"/>
      <c r="G12" s="35"/>
      <c r="H12" s="35"/>
      <c r="I12" s="35"/>
      <c r="J12" s="37"/>
      <c r="K12" s="37"/>
      <c r="M12" s="35"/>
      <c r="N12" s="35"/>
      <c r="O12" s="35"/>
      <c r="P12" s="37"/>
      <c r="Q12" s="35"/>
      <c r="S12" s="35"/>
      <c r="T12" s="35"/>
      <c r="U12" s="35"/>
      <c r="V12" s="37"/>
      <c r="W12" s="35"/>
    </row>
    <row r="13" spans="1:23" ht="12" x14ac:dyDescent="0.25">
      <c r="A13" s="25"/>
      <c r="B13" s="10"/>
      <c r="C13" s="11"/>
      <c r="D13" s="20"/>
      <c r="E13" s="22">
        <f t="shared" ref="E13:E14" si="4">C13*D13</f>
        <v>0</v>
      </c>
      <c r="G13" s="17"/>
      <c r="H13" s="10"/>
      <c r="I13" s="11"/>
      <c r="J13" s="27"/>
      <c r="K13" s="22">
        <f t="shared" ref="K13:K14" si="5">I13*J13</f>
        <v>0</v>
      </c>
      <c r="M13" s="25">
        <v>45722</v>
      </c>
      <c r="N13" s="10" t="s">
        <v>53</v>
      </c>
      <c r="O13" s="11">
        <v>1</v>
      </c>
      <c r="P13" s="12">
        <v>322000</v>
      </c>
      <c r="Q13" s="22">
        <f t="shared" ref="Q13:Q14" si="6">O13*P13</f>
        <v>322000</v>
      </c>
      <c r="S13" s="25">
        <v>45726</v>
      </c>
      <c r="T13" s="10" t="s">
        <v>54</v>
      </c>
      <c r="U13" s="11">
        <v>37</v>
      </c>
      <c r="V13" s="12">
        <v>175000</v>
      </c>
      <c r="W13" s="22">
        <f t="shared" ref="W13:W14" si="7">U13*V13</f>
        <v>6475000</v>
      </c>
    </row>
    <row r="14" spans="1:23" ht="12" x14ac:dyDescent="0.25">
      <c r="A14" s="25"/>
      <c r="B14" s="18"/>
      <c r="C14" s="19"/>
      <c r="D14" s="20"/>
      <c r="E14" s="22">
        <f t="shared" si="4"/>
        <v>0</v>
      </c>
      <c r="G14" s="17"/>
      <c r="H14" s="10"/>
      <c r="I14" s="11"/>
      <c r="J14" s="22"/>
      <c r="K14" s="22">
        <f t="shared" si="5"/>
        <v>0</v>
      </c>
      <c r="M14" s="25">
        <v>45726</v>
      </c>
      <c r="N14" s="10" t="s">
        <v>55</v>
      </c>
      <c r="O14" s="11">
        <v>9</v>
      </c>
      <c r="P14" s="12">
        <v>210000</v>
      </c>
      <c r="Q14" s="22">
        <f t="shared" si="6"/>
        <v>1890000</v>
      </c>
      <c r="S14" s="25">
        <v>45737</v>
      </c>
      <c r="T14" s="10" t="s">
        <v>50</v>
      </c>
      <c r="U14" s="11">
        <v>22</v>
      </c>
      <c r="V14" s="12">
        <v>235000</v>
      </c>
      <c r="W14" s="22">
        <f t="shared" si="7"/>
        <v>5170000</v>
      </c>
    </row>
    <row r="15" spans="1:23" x14ac:dyDescent="0.2">
      <c r="E15" s="24">
        <f>SUM(E13:E14)</f>
        <v>0</v>
      </c>
      <c r="K15" s="24">
        <f>SUM(K13:K14)</f>
        <v>0</v>
      </c>
      <c r="Q15" s="24">
        <f>SUM(Q13:Q14)</f>
        <v>2212000</v>
      </c>
      <c r="V15" s="24"/>
      <c r="W15" s="24">
        <f>SUM(W13:W14)</f>
        <v>11645000</v>
      </c>
    </row>
    <row r="17" spans="1:23" x14ac:dyDescent="0.2">
      <c r="A17" s="33">
        <v>45748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spans="1:23" ht="12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spans="1:23" x14ac:dyDescent="0.2">
      <c r="A19" s="34" t="s">
        <v>0</v>
      </c>
      <c r="B19" s="34" t="s">
        <v>5</v>
      </c>
      <c r="C19" s="34" t="s">
        <v>4</v>
      </c>
      <c r="D19" s="36" t="s">
        <v>2</v>
      </c>
      <c r="E19" s="36" t="s">
        <v>3</v>
      </c>
      <c r="G19" s="34" t="s">
        <v>0</v>
      </c>
      <c r="H19" s="34" t="s">
        <v>12</v>
      </c>
      <c r="I19" s="34" t="s">
        <v>4</v>
      </c>
      <c r="J19" s="36" t="s">
        <v>2</v>
      </c>
      <c r="K19" s="36" t="s">
        <v>3</v>
      </c>
      <c r="M19" s="34" t="s">
        <v>0</v>
      </c>
      <c r="N19" s="34" t="s">
        <v>15</v>
      </c>
      <c r="O19" s="34" t="s">
        <v>4</v>
      </c>
      <c r="P19" s="36" t="s">
        <v>2</v>
      </c>
      <c r="Q19" s="34" t="s">
        <v>3</v>
      </c>
      <c r="S19" s="34" t="s">
        <v>0</v>
      </c>
      <c r="T19" s="34" t="s">
        <v>21</v>
      </c>
      <c r="U19" s="34" t="s">
        <v>4</v>
      </c>
      <c r="V19" s="36" t="s">
        <v>2</v>
      </c>
      <c r="W19" s="34" t="s">
        <v>3</v>
      </c>
    </row>
    <row r="20" spans="1:23" x14ac:dyDescent="0.2">
      <c r="A20" s="35"/>
      <c r="B20" s="35"/>
      <c r="C20" s="35"/>
      <c r="D20" s="37"/>
      <c r="E20" s="37"/>
      <c r="G20" s="35"/>
      <c r="H20" s="35"/>
      <c r="I20" s="35"/>
      <c r="J20" s="37"/>
      <c r="K20" s="37"/>
      <c r="M20" s="35"/>
      <c r="N20" s="35"/>
      <c r="O20" s="35"/>
      <c r="P20" s="37"/>
      <c r="Q20" s="35"/>
      <c r="S20" s="35"/>
      <c r="T20" s="35"/>
      <c r="U20" s="35"/>
      <c r="V20" s="37"/>
      <c r="W20" s="35"/>
    </row>
    <row r="21" spans="1:23" ht="12" x14ac:dyDescent="0.25">
      <c r="A21" s="25"/>
      <c r="B21" s="10"/>
      <c r="C21" s="11"/>
      <c r="D21" s="20"/>
      <c r="E21" s="22">
        <f t="shared" ref="E21:E27" si="8">C21*D21</f>
        <v>0</v>
      </c>
      <c r="G21" s="17"/>
      <c r="H21" s="10"/>
      <c r="I21" s="11"/>
      <c r="J21" s="27"/>
      <c r="K21" s="22">
        <f t="shared" ref="K21:K27" si="9">I21*J21</f>
        <v>0</v>
      </c>
      <c r="M21" s="25">
        <v>45756</v>
      </c>
      <c r="N21" s="10" t="s">
        <v>28</v>
      </c>
      <c r="O21" s="11">
        <v>88</v>
      </c>
      <c r="P21" s="12">
        <v>135000</v>
      </c>
      <c r="Q21" s="22">
        <f t="shared" ref="Q21:Q27" si="10">O21*P21</f>
        <v>11880000</v>
      </c>
      <c r="S21" s="25">
        <v>45777</v>
      </c>
      <c r="T21" s="10" t="s">
        <v>59</v>
      </c>
      <c r="U21" s="11">
        <v>30</v>
      </c>
      <c r="V21" s="12">
        <v>120000</v>
      </c>
      <c r="W21" s="22">
        <f t="shared" ref="W21:W27" si="11">U21*V21</f>
        <v>3600000</v>
      </c>
    </row>
    <row r="22" spans="1:23" ht="12" x14ac:dyDescent="0.25">
      <c r="A22" s="25"/>
      <c r="B22" s="18"/>
      <c r="C22" s="19"/>
      <c r="D22" s="20"/>
      <c r="E22" s="22">
        <f t="shared" si="8"/>
        <v>0</v>
      </c>
      <c r="G22" s="17"/>
      <c r="H22" s="10"/>
      <c r="I22" s="11"/>
      <c r="J22" s="22"/>
      <c r="K22" s="22">
        <f t="shared" si="9"/>
        <v>0</v>
      </c>
      <c r="M22" s="25">
        <v>45768</v>
      </c>
      <c r="N22" s="10" t="s">
        <v>45</v>
      </c>
      <c r="O22" s="11">
        <f>42/6</f>
        <v>7</v>
      </c>
      <c r="P22" s="12">
        <v>240000</v>
      </c>
      <c r="Q22" s="22">
        <f t="shared" si="10"/>
        <v>1680000</v>
      </c>
      <c r="S22" s="25"/>
      <c r="T22" s="10" t="s">
        <v>60</v>
      </c>
      <c r="U22" s="11">
        <v>10</v>
      </c>
      <c r="V22" s="12">
        <v>85000</v>
      </c>
      <c r="W22" s="22">
        <f t="shared" si="11"/>
        <v>850000</v>
      </c>
    </row>
    <row r="23" spans="1:23" ht="12" x14ac:dyDescent="0.25">
      <c r="A23" s="17"/>
      <c r="B23" s="18"/>
      <c r="C23" s="19"/>
      <c r="D23" s="20"/>
      <c r="E23" s="22">
        <f t="shared" si="8"/>
        <v>0</v>
      </c>
      <c r="G23" s="17"/>
      <c r="H23" s="10"/>
      <c r="I23" s="11"/>
      <c r="J23" s="27"/>
      <c r="K23" s="22">
        <f t="shared" si="9"/>
        <v>0</v>
      </c>
      <c r="M23" s="25">
        <v>45768</v>
      </c>
      <c r="N23" s="10" t="s">
        <v>50</v>
      </c>
      <c r="O23" s="11">
        <f>65/8</f>
        <v>8.125</v>
      </c>
      <c r="P23" s="12">
        <v>235000</v>
      </c>
      <c r="Q23" s="22">
        <f t="shared" si="10"/>
        <v>1909375</v>
      </c>
      <c r="S23" s="25"/>
      <c r="T23" s="18"/>
      <c r="U23" s="19"/>
      <c r="V23" s="20"/>
      <c r="W23" s="22">
        <f t="shared" si="11"/>
        <v>0</v>
      </c>
    </row>
    <row r="24" spans="1:23" ht="12" x14ac:dyDescent="0.25">
      <c r="A24" s="25"/>
      <c r="B24" s="18"/>
      <c r="C24" s="19"/>
      <c r="D24" s="20"/>
      <c r="E24" s="22">
        <f t="shared" si="8"/>
        <v>0</v>
      </c>
      <c r="G24" s="25"/>
      <c r="H24" s="10"/>
      <c r="I24" s="11"/>
      <c r="J24" s="12"/>
      <c r="K24" s="22">
        <f t="shared" si="9"/>
        <v>0</v>
      </c>
      <c r="M24" s="25">
        <v>45773</v>
      </c>
      <c r="N24" s="10" t="s">
        <v>61</v>
      </c>
      <c r="O24" s="11">
        <v>95</v>
      </c>
      <c r="P24" s="12">
        <v>175000</v>
      </c>
      <c r="Q24" s="22">
        <f t="shared" si="10"/>
        <v>16625000</v>
      </c>
      <c r="S24" s="25"/>
      <c r="T24" s="18"/>
      <c r="U24" s="19"/>
      <c r="V24" s="20"/>
      <c r="W24" s="22">
        <f t="shared" si="11"/>
        <v>0</v>
      </c>
    </row>
    <row r="25" spans="1:23" ht="12" x14ac:dyDescent="0.25">
      <c r="A25" s="17"/>
      <c r="B25" s="18"/>
      <c r="C25" s="19"/>
      <c r="D25" s="20"/>
      <c r="E25" s="22">
        <f t="shared" si="8"/>
        <v>0</v>
      </c>
      <c r="G25" s="25"/>
      <c r="H25" s="18"/>
      <c r="I25" s="19"/>
      <c r="J25" s="20"/>
      <c r="K25" s="22">
        <f t="shared" si="9"/>
        <v>0</v>
      </c>
      <c r="M25" s="25">
        <v>45777</v>
      </c>
      <c r="N25" s="10" t="s">
        <v>62</v>
      </c>
      <c r="O25" s="11">
        <f>90/5.5</f>
        <v>16.363636363636363</v>
      </c>
      <c r="P25" s="12">
        <f>60000*5.5</f>
        <v>330000</v>
      </c>
      <c r="Q25" s="22">
        <f t="shared" si="10"/>
        <v>5400000</v>
      </c>
      <c r="S25" s="25"/>
      <c r="T25" s="18"/>
      <c r="U25" s="19"/>
      <c r="V25" s="20"/>
      <c r="W25" s="22">
        <f t="shared" si="11"/>
        <v>0</v>
      </c>
    </row>
    <row r="26" spans="1:23" ht="12" x14ac:dyDescent="0.25">
      <c r="A26" s="17"/>
      <c r="B26" s="18"/>
      <c r="C26" s="19"/>
      <c r="D26" s="20"/>
      <c r="E26" s="22">
        <f t="shared" si="8"/>
        <v>0</v>
      </c>
      <c r="G26" s="25"/>
      <c r="H26" s="10"/>
      <c r="I26" s="29"/>
      <c r="J26" s="22"/>
      <c r="K26" s="22">
        <f t="shared" si="9"/>
        <v>0</v>
      </c>
      <c r="M26" s="25"/>
      <c r="N26" s="10" t="s">
        <v>61</v>
      </c>
      <c r="O26" s="11">
        <v>50</v>
      </c>
      <c r="P26" s="12">
        <v>175000</v>
      </c>
      <c r="Q26" s="22">
        <f t="shared" si="10"/>
        <v>8750000</v>
      </c>
      <c r="S26" s="25"/>
      <c r="T26" s="18"/>
      <c r="U26" s="19"/>
      <c r="V26" s="20"/>
      <c r="W26" s="22">
        <f t="shared" si="11"/>
        <v>0</v>
      </c>
    </row>
    <row r="27" spans="1:23" ht="12" x14ac:dyDescent="0.25">
      <c r="A27" s="17"/>
      <c r="B27" s="18"/>
      <c r="C27" s="19"/>
      <c r="D27" s="20"/>
      <c r="E27" s="22">
        <f t="shared" si="8"/>
        <v>0</v>
      </c>
      <c r="G27" s="25"/>
      <c r="H27" s="18"/>
      <c r="I27" s="29"/>
      <c r="J27" s="22"/>
      <c r="K27" s="22">
        <f t="shared" si="9"/>
        <v>0</v>
      </c>
      <c r="M27" s="25"/>
      <c r="N27" s="10" t="s">
        <v>63</v>
      </c>
      <c r="O27" s="11">
        <v>18</v>
      </c>
      <c r="P27" s="12">
        <v>120000</v>
      </c>
      <c r="Q27" s="22">
        <f t="shared" si="10"/>
        <v>2160000</v>
      </c>
      <c r="S27" s="25"/>
      <c r="T27" s="18"/>
      <c r="U27" s="19"/>
      <c r="V27" s="20"/>
      <c r="W27" s="22">
        <f t="shared" si="11"/>
        <v>0</v>
      </c>
    </row>
    <row r="28" spans="1:23" x14ac:dyDescent="0.2">
      <c r="E28" s="24">
        <f>SUM(E21:E27)</f>
        <v>0</v>
      </c>
      <c r="K28" s="24">
        <f>SUM(K21:K27)</f>
        <v>0</v>
      </c>
      <c r="Q28" s="24">
        <f>SUM(Q21:Q27)</f>
        <v>48404375</v>
      </c>
      <c r="V28" s="24"/>
      <c r="W28" s="24">
        <f>SUM(W21:W27)</f>
        <v>4450000</v>
      </c>
    </row>
    <row r="30" spans="1:23" x14ac:dyDescent="0.2">
      <c r="A30" s="33" t="s">
        <v>93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spans="1:23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spans="1:23" x14ac:dyDescent="0.2">
      <c r="A32" s="34" t="s">
        <v>0</v>
      </c>
      <c r="B32" s="34" t="s">
        <v>5</v>
      </c>
      <c r="C32" s="34" t="s">
        <v>4</v>
      </c>
      <c r="D32" s="36" t="s">
        <v>2</v>
      </c>
      <c r="E32" s="36" t="s">
        <v>3</v>
      </c>
      <c r="G32" s="34" t="s">
        <v>0</v>
      </c>
      <c r="H32" s="34" t="s">
        <v>12</v>
      </c>
      <c r="I32" s="34" t="s">
        <v>4</v>
      </c>
      <c r="J32" s="36" t="s">
        <v>2</v>
      </c>
      <c r="K32" s="36" t="s">
        <v>3</v>
      </c>
      <c r="M32" s="34" t="s">
        <v>0</v>
      </c>
      <c r="N32" s="34" t="s">
        <v>15</v>
      </c>
      <c r="O32" s="34" t="s">
        <v>4</v>
      </c>
      <c r="P32" s="36" t="s">
        <v>2</v>
      </c>
      <c r="Q32" s="34" t="s">
        <v>3</v>
      </c>
      <c r="S32" s="34" t="s">
        <v>0</v>
      </c>
      <c r="T32" s="34" t="s">
        <v>21</v>
      </c>
      <c r="U32" s="34" t="s">
        <v>4</v>
      </c>
      <c r="V32" s="36" t="s">
        <v>2</v>
      </c>
      <c r="W32" s="34" t="s">
        <v>3</v>
      </c>
    </row>
    <row r="33" spans="1:23" x14ac:dyDescent="0.2">
      <c r="A33" s="35"/>
      <c r="B33" s="35"/>
      <c r="C33" s="35"/>
      <c r="D33" s="37"/>
      <c r="E33" s="37"/>
      <c r="G33" s="35"/>
      <c r="H33" s="35"/>
      <c r="I33" s="35"/>
      <c r="J33" s="37"/>
      <c r="K33" s="37"/>
      <c r="M33" s="35"/>
      <c r="N33" s="35"/>
      <c r="O33" s="35"/>
      <c r="P33" s="37"/>
      <c r="Q33" s="35"/>
      <c r="S33" s="35"/>
      <c r="T33" s="35"/>
      <c r="U33" s="35"/>
      <c r="V33" s="37"/>
      <c r="W33" s="35"/>
    </row>
    <row r="34" spans="1:23" ht="12" x14ac:dyDescent="0.25">
      <c r="A34" s="25"/>
      <c r="B34" s="10"/>
      <c r="C34" s="11"/>
      <c r="D34" s="20"/>
      <c r="E34" s="22">
        <f t="shared" ref="E34:E38" si="12">C34*D34</f>
        <v>0</v>
      </c>
      <c r="G34" s="17">
        <v>45798</v>
      </c>
      <c r="H34" s="10" t="s">
        <v>94</v>
      </c>
      <c r="I34" s="11">
        <v>8</v>
      </c>
      <c r="J34" s="27">
        <v>95000</v>
      </c>
      <c r="K34" s="22">
        <f t="shared" ref="K34:K38" si="13">I34*J34</f>
        <v>760000</v>
      </c>
      <c r="M34" s="25">
        <v>45793</v>
      </c>
      <c r="N34" s="10" t="s">
        <v>38</v>
      </c>
      <c r="O34" s="11">
        <f>480/11</f>
        <v>43.636363636363633</v>
      </c>
      <c r="P34" s="12">
        <v>230000</v>
      </c>
      <c r="Q34" s="22">
        <f t="shared" ref="Q34:Q38" si="14">O34*P34</f>
        <v>10036363.636363635</v>
      </c>
      <c r="S34" s="25"/>
      <c r="T34" s="10" t="s">
        <v>95</v>
      </c>
      <c r="U34" s="11">
        <f>10/5.5</f>
        <v>1.8181818181818181</v>
      </c>
      <c r="V34" s="12">
        <v>260000</v>
      </c>
      <c r="W34" s="22">
        <f t="shared" ref="W34:W38" si="15">U34*V34</f>
        <v>472727.27272727271</v>
      </c>
    </row>
    <row r="35" spans="1:23" ht="12" x14ac:dyDescent="0.25">
      <c r="A35" s="25"/>
      <c r="B35" s="18"/>
      <c r="C35" s="19"/>
      <c r="D35" s="20"/>
      <c r="E35" s="22">
        <f t="shared" si="12"/>
        <v>0</v>
      </c>
      <c r="G35" s="17">
        <v>45798</v>
      </c>
      <c r="H35" s="10" t="s">
        <v>96</v>
      </c>
      <c r="I35" s="11">
        <v>5</v>
      </c>
      <c r="J35" s="27">
        <v>95000</v>
      </c>
      <c r="K35" s="22">
        <f t="shared" si="13"/>
        <v>475000</v>
      </c>
      <c r="M35" s="25">
        <v>45793</v>
      </c>
      <c r="N35" s="10" t="s">
        <v>97</v>
      </c>
      <c r="O35" s="11">
        <f>37/11</f>
        <v>3.3636363636363638</v>
      </c>
      <c r="P35" s="12">
        <v>170000</v>
      </c>
      <c r="Q35" s="22">
        <f t="shared" si="14"/>
        <v>571818.18181818188</v>
      </c>
      <c r="S35" s="25"/>
      <c r="T35" s="10"/>
      <c r="U35" s="11"/>
      <c r="V35" s="12"/>
      <c r="W35" s="22">
        <f t="shared" si="15"/>
        <v>0</v>
      </c>
    </row>
    <row r="36" spans="1:23" ht="12" x14ac:dyDescent="0.25">
      <c r="A36" s="17"/>
      <c r="B36" s="18"/>
      <c r="C36" s="19"/>
      <c r="D36" s="20"/>
      <c r="E36" s="22">
        <f t="shared" si="12"/>
        <v>0</v>
      </c>
      <c r="G36" s="17">
        <v>45806</v>
      </c>
      <c r="H36" s="10" t="s">
        <v>98</v>
      </c>
      <c r="I36" s="11">
        <v>36</v>
      </c>
      <c r="J36" s="27">
        <v>120000</v>
      </c>
      <c r="K36" s="22">
        <f t="shared" si="13"/>
        <v>4320000</v>
      </c>
      <c r="M36" s="25">
        <v>45806</v>
      </c>
      <c r="N36" s="10" t="s">
        <v>38</v>
      </c>
      <c r="O36" s="11">
        <v>14</v>
      </c>
      <c r="P36" s="12">
        <v>235000</v>
      </c>
      <c r="Q36" s="22">
        <f t="shared" si="14"/>
        <v>3290000</v>
      </c>
      <c r="S36" s="25"/>
      <c r="T36" s="18"/>
      <c r="U36" s="19"/>
      <c r="V36" s="20"/>
      <c r="W36" s="22">
        <f t="shared" si="15"/>
        <v>0</v>
      </c>
    </row>
    <row r="37" spans="1:23" ht="12" x14ac:dyDescent="0.25">
      <c r="A37" s="25"/>
      <c r="B37" s="18"/>
      <c r="C37" s="19"/>
      <c r="D37" s="20"/>
      <c r="E37" s="22">
        <f t="shared" si="12"/>
        <v>0</v>
      </c>
      <c r="G37" s="25"/>
      <c r="H37" s="10"/>
      <c r="I37" s="11"/>
      <c r="J37" s="12"/>
      <c r="K37" s="22">
        <f t="shared" si="13"/>
        <v>0</v>
      </c>
      <c r="M37" s="25">
        <v>45806</v>
      </c>
      <c r="N37" s="10" t="s">
        <v>99</v>
      </c>
      <c r="O37" s="11">
        <v>100</v>
      </c>
      <c r="P37" s="12">
        <v>135000</v>
      </c>
      <c r="Q37" s="22">
        <f t="shared" si="14"/>
        <v>13500000</v>
      </c>
      <c r="S37" s="25"/>
      <c r="T37" s="18"/>
      <c r="U37" s="19"/>
      <c r="V37" s="20"/>
      <c r="W37" s="22">
        <f t="shared" si="15"/>
        <v>0</v>
      </c>
    </row>
    <row r="38" spans="1:23" ht="12" x14ac:dyDescent="0.25">
      <c r="A38" s="17"/>
      <c r="B38" s="18"/>
      <c r="C38" s="19"/>
      <c r="D38" s="20"/>
      <c r="E38" s="22">
        <f t="shared" si="12"/>
        <v>0</v>
      </c>
      <c r="G38" s="25"/>
      <c r="H38" s="18"/>
      <c r="I38" s="19"/>
      <c r="J38" s="20"/>
      <c r="K38" s="22">
        <f t="shared" si="13"/>
        <v>0</v>
      </c>
      <c r="M38" s="25">
        <v>45806</v>
      </c>
      <c r="N38" s="10" t="s">
        <v>45</v>
      </c>
      <c r="O38" s="11">
        <v>15</v>
      </c>
      <c r="P38" s="12">
        <v>240000</v>
      </c>
      <c r="Q38" s="22">
        <f t="shared" si="14"/>
        <v>3600000</v>
      </c>
      <c r="S38" s="25"/>
      <c r="T38" s="18"/>
      <c r="U38" s="19"/>
      <c r="V38" s="20"/>
      <c r="W38" s="22">
        <f t="shared" si="15"/>
        <v>0</v>
      </c>
    </row>
    <row r="39" spans="1:23" x14ac:dyDescent="0.2">
      <c r="E39" s="24">
        <f>SUM(E34:E38)</f>
        <v>0</v>
      </c>
      <c r="K39" s="24">
        <f>SUM(K34:K38)</f>
        <v>5555000</v>
      </c>
      <c r="Q39" s="24">
        <f>SUM(Q34:Q38)</f>
        <v>30998181.818181816</v>
      </c>
      <c r="V39" s="24"/>
      <c r="W39" s="24">
        <f>SUM(W34:W38)</f>
        <v>472727.27272727271</v>
      </c>
    </row>
    <row r="41" spans="1:23" x14ac:dyDescent="0.2">
      <c r="A41" s="33" t="s">
        <v>115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spans="1:23" x14ac:dyDescent="0.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43" spans="1:23" x14ac:dyDescent="0.2">
      <c r="A43" s="34" t="s">
        <v>0</v>
      </c>
      <c r="B43" s="34" t="s">
        <v>5</v>
      </c>
      <c r="C43" s="34" t="s">
        <v>4</v>
      </c>
      <c r="D43" s="36" t="s">
        <v>2</v>
      </c>
      <c r="E43" s="36" t="s">
        <v>3</v>
      </c>
      <c r="G43" s="34" t="s">
        <v>0</v>
      </c>
      <c r="H43" s="34" t="s">
        <v>12</v>
      </c>
      <c r="I43" s="34" t="s">
        <v>4</v>
      </c>
      <c r="J43" s="36" t="s">
        <v>2</v>
      </c>
      <c r="K43" s="36" t="s">
        <v>3</v>
      </c>
      <c r="M43" s="34" t="s">
        <v>0</v>
      </c>
      <c r="N43" s="34" t="s">
        <v>15</v>
      </c>
      <c r="O43" s="34" t="s">
        <v>4</v>
      </c>
      <c r="P43" s="36" t="s">
        <v>2</v>
      </c>
      <c r="Q43" s="34" t="s">
        <v>3</v>
      </c>
      <c r="S43" s="34" t="s">
        <v>0</v>
      </c>
      <c r="T43" s="34" t="s">
        <v>21</v>
      </c>
      <c r="U43" s="34" t="s">
        <v>4</v>
      </c>
      <c r="V43" s="36" t="s">
        <v>2</v>
      </c>
      <c r="W43" s="34" t="s">
        <v>3</v>
      </c>
    </row>
    <row r="44" spans="1:23" x14ac:dyDescent="0.2">
      <c r="A44" s="35"/>
      <c r="B44" s="35"/>
      <c r="C44" s="35"/>
      <c r="D44" s="37"/>
      <c r="E44" s="37"/>
      <c r="G44" s="35"/>
      <c r="H44" s="35"/>
      <c r="I44" s="35"/>
      <c r="J44" s="37"/>
      <c r="K44" s="37"/>
      <c r="M44" s="35"/>
      <c r="N44" s="35"/>
      <c r="O44" s="35"/>
      <c r="P44" s="37"/>
      <c r="Q44" s="35"/>
      <c r="S44" s="35"/>
      <c r="T44" s="35"/>
      <c r="U44" s="35"/>
      <c r="V44" s="37"/>
      <c r="W44" s="35"/>
    </row>
    <row r="45" spans="1:23" ht="12" x14ac:dyDescent="0.25">
      <c r="A45" s="25"/>
      <c r="B45" s="10"/>
      <c r="C45" s="11"/>
      <c r="D45" s="20"/>
      <c r="E45" s="22">
        <f t="shared" ref="E45:E50" si="16">C45*D45</f>
        <v>0</v>
      </c>
      <c r="G45" s="17"/>
      <c r="H45" s="10"/>
      <c r="I45" s="11"/>
      <c r="J45" s="27"/>
      <c r="K45" s="22">
        <f t="shared" ref="K45:K50" si="17">I45*J45</f>
        <v>0</v>
      </c>
      <c r="M45" s="25">
        <v>45853</v>
      </c>
      <c r="N45" s="10" t="s">
        <v>113</v>
      </c>
      <c r="O45" s="11">
        <f>233/11</f>
        <v>21.181818181818183</v>
      </c>
      <c r="P45" s="12">
        <v>230000</v>
      </c>
      <c r="Q45" s="22">
        <f t="shared" ref="Q45:Q50" si="18">O45*P45</f>
        <v>4871818.1818181826</v>
      </c>
      <c r="S45" s="25">
        <v>45849</v>
      </c>
      <c r="T45" s="10" t="s">
        <v>62</v>
      </c>
      <c r="U45" s="11">
        <f>125/5.5</f>
        <v>22.727272727272727</v>
      </c>
      <c r="V45" s="12">
        <v>330000</v>
      </c>
      <c r="W45" s="22">
        <f t="shared" ref="W45:W50" si="19">U45*V45</f>
        <v>7500000</v>
      </c>
    </row>
    <row r="46" spans="1:23" ht="12" x14ac:dyDescent="0.25">
      <c r="A46" s="25"/>
      <c r="B46" s="18"/>
      <c r="C46" s="19"/>
      <c r="D46" s="20"/>
      <c r="E46" s="22">
        <f t="shared" si="16"/>
        <v>0</v>
      </c>
      <c r="G46" s="17"/>
      <c r="H46" s="10"/>
      <c r="I46" s="11"/>
      <c r="J46" s="27"/>
      <c r="K46" s="22">
        <f t="shared" si="17"/>
        <v>0</v>
      </c>
      <c r="M46" s="25"/>
      <c r="N46" s="10"/>
      <c r="O46" s="11"/>
      <c r="P46" s="12"/>
      <c r="Q46" s="22">
        <f t="shared" si="18"/>
        <v>0</v>
      </c>
      <c r="S46" s="25">
        <v>45853</v>
      </c>
      <c r="T46" s="10" t="s">
        <v>38</v>
      </c>
      <c r="U46" s="11">
        <f>237/11</f>
        <v>21.545454545454547</v>
      </c>
      <c r="V46" s="12">
        <v>220000</v>
      </c>
      <c r="W46" s="22">
        <f t="shared" si="19"/>
        <v>4740000</v>
      </c>
    </row>
    <row r="47" spans="1:23" ht="12" x14ac:dyDescent="0.25">
      <c r="A47" s="17"/>
      <c r="B47" s="18"/>
      <c r="C47" s="19"/>
      <c r="D47" s="20"/>
      <c r="E47" s="22">
        <f t="shared" si="16"/>
        <v>0</v>
      </c>
      <c r="G47" s="17"/>
      <c r="H47" s="10"/>
      <c r="I47" s="11"/>
      <c r="J47" s="27"/>
      <c r="K47" s="22">
        <f t="shared" si="17"/>
        <v>0</v>
      </c>
      <c r="M47" s="25"/>
      <c r="N47" s="10"/>
      <c r="O47" s="11"/>
      <c r="P47" s="12"/>
      <c r="Q47" s="22">
        <f t="shared" si="18"/>
        <v>0</v>
      </c>
      <c r="S47" s="25">
        <v>45867</v>
      </c>
      <c r="T47" s="10" t="s">
        <v>54</v>
      </c>
      <c r="U47" s="11">
        <v>4</v>
      </c>
      <c r="V47" s="12">
        <v>180000</v>
      </c>
      <c r="W47" s="22">
        <f t="shared" si="19"/>
        <v>720000</v>
      </c>
    </row>
    <row r="48" spans="1:23" ht="12" x14ac:dyDescent="0.25">
      <c r="A48" s="25"/>
      <c r="B48" s="18"/>
      <c r="C48" s="19"/>
      <c r="D48" s="20"/>
      <c r="E48" s="22">
        <f t="shared" si="16"/>
        <v>0</v>
      </c>
      <c r="G48" s="25"/>
      <c r="H48" s="10"/>
      <c r="I48" s="11"/>
      <c r="J48" s="12"/>
      <c r="K48" s="22">
        <f t="shared" si="17"/>
        <v>0</v>
      </c>
      <c r="M48" s="25"/>
      <c r="N48" s="10"/>
      <c r="O48" s="11"/>
      <c r="P48" s="12"/>
      <c r="Q48" s="22">
        <f t="shared" si="18"/>
        <v>0</v>
      </c>
      <c r="S48" s="25">
        <v>45867</v>
      </c>
      <c r="T48" s="10" t="s">
        <v>99</v>
      </c>
      <c r="U48" s="11">
        <v>2</v>
      </c>
      <c r="V48" s="12">
        <v>135000</v>
      </c>
      <c r="W48" s="22">
        <f t="shared" si="19"/>
        <v>270000</v>
      </c>
    </row>
    <row r="49" spans="1:23" ht="12" x14ac:dyDescent="0.25">
      <c r="A49" s="17"/>
      <c r="B49" s="18"/>
      <c r="C49" s="19"/>
      <c r="D49" s="20"/>
      <c r="E49" s="22">
        <f t="shared" si="16"/>
        <v>0</v>
      </c>
      <c r="G49" s="25"/>
      <c r="H49" s="18"/>
      <c r="I49" s="19"/>
      <c r="J49" s="20"/>
      <c r="K49" s="22">
        <f t="shared" si="17"/>
        <v>0</v>
      </c>
      <c r="M49" s="25"/>
      <c r="N49" s="10"/>
      <c r="O49" s="11"/>
      <c r="P49" s="12"/>
      <c r="Q49" s="22">
        <f t="shared" si="18"/>
        <v>0</v>
      </c>
      <c r="S49" s="25">
        <v>45867</v>
      </c>
      <c r="T49" s="10" t="s">
        <v>35</v>
      </c>
      <c r="U49" s="11">
        <v>3</v>
      </c>
      <c r="V49" s="12">
        <v>175000</v>
      </c>
      <c r="W49" s="22">
        <f t="shared" si="19"/>
        <v>525000</v>
      </c>
    </row>
    <row r="50" spans="1:23" ht="12" x14ac:dyDescent="0.25">
      <c r="A50" s="17"/>
      <c r="B50" s="18"/>
      <c r="C50" s="19"/>
      <c r="D50" s="20"/>
      <c r="E50" s="22">
        <f t="shared" si="16"/>
        <v>0</v>
      </c>
      <c r="G50" s="25"/>
      <c r="H50" s="10"/>
      <c r="I50" s="29"/>
      <c r="J50" s="22"/>
      <c r="K50" s="22">
        <f t="shared" si="17"/>
        <v>0</v>
      </c>
      <c r="M50" s="25"/>
      <c r="N50" s="10"/>
      <c r="O50" s="11"/>
      <c r="P50" s="12"/>
      <c r="Q50" s="22">
        <f t="shared" si="18"/>
        <v>0</v>
      </c>
      <c r="S50" s="25">
        <v>45867</v>
      </c>
      <c r="T50" s="10" t="s">
        <v>114</v>
      </c>
      <c r="U50" s="11">
        <v>13</v>
      </c>
      <c r="V50" s="12">
        <v>15000</v>
      </c>
      <c r="W50" s="22">
        <f t="shared" si="19"/>
        <v>195000</v>
      </c>
    </row>
    <row r="51" spans="1:23" x14ac:dyDescent="0.2">
      <c r="E51" s="24">
        <f>SUM(E45:E50)</f>
        <v>0</v>
      </c>
      <c r="K51" s="24">
        <f>SUM(K45:K50)</f>
        <v>0</v>
      </c>
      <c r="Q51" s="24">
        <f>SUM(Q45:Q50)</f>
        <v>4871818.1818181826</v>
      </c>
      <c r="V51" s="24"/>
      <c r="W51" s="24">
        <f>SUM(W45:W50)</f>
        <v>13950000</v>
      </c>
    </row>
    <row r="53" spans="1:23" x14ac:dyDescent="0.2">
      <c r="A53" s="33" t="s">
        <v>136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spans="1:23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</row>
    <row r="55" spans="1:23" x14ac:dyDescent="0.2">
      <c r="A55" s="34" t="s">
        <v>0</v>
      </c>
      <c r="B55" s="34" t="s">
        <v>5</v>
      </c>
      <c r="C55" s="34" t="s">
        <v>4</v>
      </c>
      <c r="D55" s="36" t="s">
        <v>2</v>
      </c>
      <c r="E55" s="36" t="s">
        <v>3</v>
      </c>
      <c r="G55" s="34" t="s">
        <v>0</v>
      </c>
      <c r="H55" s="34" t="s">
        <v>12</v>
      </c>
      <c r="I55" s="34" t="s">
        <v>4</v>
      </c>
      <c r="J55" s="36" t="s">
        <v>2</v>
      </c>
      <c r="K55" s="36" t="s">
        <v>3</v>
      </c>
      <c r="M55" s="34" t="s">
        <v>0</v>
      </c>
      <c r="N55" s="34" t="s">
        <v>15</v>
      </c>
      <c r="O55" s="34" t="s">
        <v>4</v>
      </c>
      <c r="P55" s="36" t="s">
        <v>2</v>
      </c>
      <c r="Q55" s="34" t="s">
        <v>3</v>
      </c>
      <c r="S55" s="34" t="s">
        <v>0</v>
      </c>
      <c r="T55" s="34" t="s">
        <v>21</v>
      </c>
      <c r="U55" s="34" t="s">
        <v>4</v>
      </c>
      <c r="V55" s="36" t="s">
        <v>2</v>
      </c>
      <c r="W55" s="34" t="s">
        <v>3</v>
      </c>
    </row>
    <row r="56" spans="1:23" x14ac:dyDescent="0.2">
      <c r="A56" s="35"/>
      <c r="B56" s="35"/>
      <c r="C56" s="35"/>
      <c r="D56" s="37"/>
      <c r="E56" s="37"/>
      <c r="G56" s="35"/>
      <c r="H56" s="35"/>
      <c r="I56" s="35"/>
      <c r="J56" s="37"/>
      <c r="K56" s="37"/>
      <c r="M56" s="35"/>
      <c r="N56" s="35"/>
      <c r="O56" s="35"/>
      <c r="P56" s="37"/>
      <c r="Q56" s="35"/>
      <c r="S56" s="35"/>
      <c r="T56" s="35"/>
      <c r="U56" s="35"/>
      <c r="V56" s="37"/>
      <c r="W56" s="35"/>
    </row>
    <row r="57" spans="1:23" ht="12" x14ac:dyDescent="0.25">
      <c r="A57" s="25"/>
      <c r="B57" s="10"/>
      <c r="C57" s="11"/>
      <c r="D57" s="20"/>
      <c r="E57" s="22">
        <f t="shared" ref="E57:E69" si="20">C57*D57</f>
        <v>0</v>
      </c>
      <c r="G57" s="17">
        <v>45932</v>
      </c>
      <c r="H57" s="10" t="s">
        <v>88</v>
      </c>
      <c r="I57" s="11">
        <v>10</v>
      </c>
      <c r="J57" s="27">
        <v>75000</v>
      </c>
      <c r="K57" s="22">
        <f t="shared" ref="K57:K69" si="21">I57*J57</f>
        <v>750000</v>
      </c>
      <c r="M57" s="25"/>
      <c r="N57" s="10"/>
      <c r="O57" s="11"/>
      <c r="P57" s="12"/>
      <c r="Q57" s="22">
        <f t="shared" ref="Q57:Q69" si="22">O57*P57</f>
        <v>0</v>
      </c>
      <c r="S57" s="25">
        <v>45889</v>
      </c>
      <c r="T57" s="10" t="s">
        <v>137</v>
      </c>
      <c r="U57" s="11">
        <v>50</v>
      </c>
      <c r="V57" s="12">
        <v>165000</v>
      </c>
      <c r="W57" s="22">
        <f t="shared" ref="W57:W69" si="23">U57*V57</f>
        <v>8250000</v>
      </c>
    </row>
    <row r="58" spans="1:23" ht="12" x14ac:dyDescent="0.25">
      <c r="A58" s="25"/>
      <c r="B58" s="18"/>
      <c r="C58" s="19"/>
      <c r="D58" s="20"/>
      <c r="E58" s="22">
        <f t="shared" si="20"/>
        <v>0</v>
      </c>
      <c r="G58" s="17"/>
      <c r="H58" s="10"/>
      <c r="I58" s="11"/>
      <c r="J58" s="27"/>
      <c r="K58" s="22">
        <f t="shared" si="21"/>
        <v>0</v>
      </c>
      <c r="M58" s="25"/>
      <c r="N58" s="10"/>
      <c r="O58" s="11"/>
      <c r="P58" s="12"/>
      <c r="Q58" s="22">
        <f t="shared" si="22"/>
        <v>0</v>
      </c>
      <c r="S58" s="25">
        <v>45899</v>
      </c>
      <c r="T58" s="10" t="s">
        <v>137</v>
      </c>
      <c r="U58" s="11">
        <v>70</v>
      </c>
      <c r="V58" s="12">
        <v>165000</v>
      </c>
      <c r="W58" s="22">
        <f t="shared" si="23"/>
        <v>11550000</v>
      </c>
    </row>
    <row r="59" spans="1:23" ht="12" x14ac:dyDescent="0.25">
      <c r="A59" s="17"/>
      <c r="B59" s="18"/>
      <c r="C59" s="19"/>
      <c r="D59" s="20"/>
      <c r="E59" s="22">
        <f t="shared" si="20"/>
        <v>0</v>
      </c>
      <c r="G59" s="17"/>
      <c r="H59" s="10"/>
      <c r="I59" s="11"/>
      <c r="J59" s="27"/>
      <c r="K59" s="22">
        <f t="shared" si="21"/>
        <v>0</v>
      </c>
      <c r="M59" s="25"/>
      <c r="N59" s="10"/>
      <c r="O59" s="11"/>
      <c r="P59" s="12"/>
      <c r="Q59" s="22">
        <f t="shared" si="22"/>
        <v>0</v>
      </c>
      <c r="S59" s="25">
        <v>45899</v>
      </c>
      <c r="T59" s="10" t="s">
        <v>35</v>
      </c>
      <c r="U59" s="11">
        <f>38/8</f>
        <v>4.75</v>
      </c>
      <c r="V59" s="12">
        <f>24000*8</f>
        <v>192000</v>
      </c>
      <c r="W59" s="22">
        <f t="shared" si="23"/>
        <v>912000</v>
      </c>
    </row>
    <row r="60" spans="1:23" ht="12" x14ac:dyDescent="0.25">
      <c r="A60" s="25"/>
      <c r="B60" s="18"/>
      <c r="C60" s="19"/>
      <c r="D60" s="20"/>
      <c r="E60" s="22">
        <f t="shared" si="20"/>
        <v>0</v>
      </c>
      <c r="G60" s="25"/>
      <c r="H60" s="10"/>
      <c r="I60" s="11"/>
      <c r="J60" s="12"/>
      <c r="K60" s="22">
        <f t="shared" si="21"/>
        <v>0</v>
      </c>
      <c r="M60" s="25"/>
      <c r="N60" s="10"/>
      <c r="O60" s="11"/>
      <c r="P60" s="12"/>
      <c r="Q60" s="22">
        <f t="shared" si="22"/>
        <v>0</v>
      </c>
      <c r="S60" s="25">
        <v>45899</v>
      </c>
      <c r="T60" s="10" t="s">
        <v>138</v>
      </c>
      <c r="U60" s="11">
        <v>25</v>
      </c>
      <c r="V60" s="12">
        <v>110000</v>
      </c>
      <c r="W60" s="22">
        <f t="shared" si="23"/>
        <v>2750000</v>
      </c>
    </row>
    <row r="61" spans="1:23" ht="12" x14ac:dyDescent="0.25">
      <c r="A61" s="17"/>
      <c r="B61" s="18"/>
      <c r="C61" s="19"/>
      <c r="D61" s="20"/>
      <c r="E61" s="22">
        <f t="shared" si="20"/>
        <v>0</v>
      </c>
      <c r="G61" s="25"/>
      <c r="H61" s="18"/>
      <c r="I61" s="19"/>
      <c r="J61" s="20"/>
      <c r="K61" s="22">
        <f t="shared" si="21"/>
        <v>0</v>
      </c>
      <c r="M61" s="25"/>
      <c r="N61" s="10"/>
      <c r="O61" s="11"/>
      <c r="P61" s="12"/>
      <c r="Q61" s="22">
        <f t="shared" si="22"/>
        <v>0</v>
      </c>
      <c r="S61" s="25">
        <v>45910</v>
      </c>
      <c r="T61" s="10" t="s">
        <v>137</v>
      </c>
      <c r="U61" s="11">
        <v>50</v>
      </c>
      <c r="V61" s="12">
        <v>165000</v>
      </c>
      <c r="W61" s="22">
        <f t="shared" si="23"/>
        <v>8250000</v>
      </c>
    </row>
    <row r="62" spans="1:23" ht="12" x14ac:dyDescent="0.25">
      <c r="A62" s="17"/>
      <c r="B62" s="18"/>
      <c r="C62" s="19"/>
      <c r="D62" s="20"/>
      <c r="E62" s="22">
        <f t="shared" si="20"/>
        <v>0</v>
      </c>
      <c r="G62" s="25"/>
      <c r="H62" s="10"/>
      <c r="I62" s="29"/>
      <c r="J62" s="22"/>
      <c r="K62" s="22">
        <f t="shared" si="21"/>
        <v>0</v>
      </c>
      <c r="M62" s="25"/>
      <c r="N62" s="10"/>
      <c r="O62" s="11"/>
      <c r="P62" s="12"/>
      <c r="Q62" s="22">
        <f t="shared" si="22"/>
        <v>0</v>
      </c>
      <c r="S62" s="25">
        <v>45910</v>
      </c>
      <c r="T62" s="10" t="s">
        <v>57</v>
      </c>
      <c r="U62" s="11">
        <v>24</v>
      </c>
      <c r="V62" s="12">
        <v>115000</v>
      </c>
      <c r="W62" s="22">
        <f t="shared" si="23"/>
        <v>2760000</v>
      </c>
    </row>
    <row r="63" spans="1:23" ht="12" x14ac:dyDescent="0.25">
      <c r="A63" s="17"/>
      <c r="B63" s="18"/>
      <c r="C63" s="19"/>
      <c r="D63" s="20"/>
      <c r="E63" s="22">
        <f t="shared" si="20"/>
        <v>0</v>
      </c>
      <c r="G63" s="25"/>
      <c r="H63" s="18"/>
      <c r="I63" s="29"/>
      <c r="J63" s="22"/>
      <c r="K63" s="22">
        <f t="shared" si="21"/>
        <v>0</v>
      </c>
      <c r="M63" s="25"/>
      <c r="N63" s="10"/>
      <c r="O63" s="11"/>
      <c r="P63" s="12"/>
      <c r="Q63" s="22">
        <f t="shared" si="22"/>
        <v>0</v>
      </c>
      <c r="S63" s="25"/>
      <c r="T63" s="18"/>
      <c r="U63" s="19"/>
      <c r="V63" s="20"/>
      <c r="W63" s="22">
        <f t="shared" si="23"/>
        <v>0</v>
      </c>
    </row>
    <row r="64" spans="1:23" ht="12" x14ac:dyDescent="0.25">
      <c r="A64" s="17"/>
      <c r="B64" s="18"/>
      <c r="C64" s="19"/>
      <c r="D64" s="20"/>
      <c r="E64" s="22">
        <f t="shared" si="20"/>
        <v>0</v>
      </c>
      <c r="G64" s="25"/>
      <c r="H64" s="10"/>
      <c r="I64" s="46"/>
      <c r="J64" s="22"/>
      <c r="K64" s="22">
        <f t="shared" si="21"/>
        <v>0</v>
      </c>
      <c r="M64" s="25"/>
      <c r="N64" s="10"/>
      <c r="O64" s="11"/>
      <c r="P64" s="12"/>
      <c r="Q64" s="22">
        <f t="shared" si="22"/>
        <v>0</v>
      </c>
      <c r="S64" s="25"/>
      <c r="T64" s="18"/>
      <c r="U64" s="19"/>
      <c r="V64" s="20"/>
      <c r="W64" s="22">
        <f t="shared" si="23"/>
        <v>0</v>
      </c>
    </row>
    <row r="65" spans="1:23" x14ac:dyDescent="0.2">
      <c r="A65" s="17"/>
      <c r="B65" s="18"/>
      <c r="C65" s="19"/>
      <c r="D65" s="20"/>
      <c r="E65" s="22">
        <f t="shared" si="20"/>
        <v>0</v>
      </c>
      <c r="G65" s="25"/>
      <c r="H65" s="18"/>
      <c r="I65" s="46"/>
      <c r="J65" s="22"/>
      <c r="K65" s="22">
        <f t="shared" si="21"/>
        <v>0</v>
      </c>
      <c r="M65" s="25"/>
      <c r="N65" s="18"/>
      <c r="O65" s="19"/>
      <c r="P65" s="20"/>
      <c r="Q65" s="22">
        <f t="shared" si="22"/>
        <v>0</v>
      </c>
      <c r="S65" s="25"/>
      <c r="T65" s="18"/>
      <c r="U65" s="19"/>
      <c r="V65" s="20"/>
      <c r="W65" s="22">
        <f t="shared" si="23"/>
        <v>0</v>
      </c>
    </row>
    <row r="66" spans="1:23" x14ac:dyDescent="0.2">
      <c r="A66" s="17"/>
      <c r="B66" s="18"/>
      <c r="C66" s="19"/>
      <c r="D66" s="20"/>
      <c r="E66" s="22">
        <f t="shared" si="20"/>
        <v>0</v>
      </c>
      <c r="G66" s="25"/>
      <c r="H66" s="18"/>
      <c r="I66" s="46"/>
      <c r="J66" s="22"/>
      <c r="K66" s="22">
        <f t="shared" si="21"/>
        <v>0</v>
      </c>
      <c r="M66" s="25"/>
      <c r="N66" s="18"/>
      <c r="O66" s="19"/>
      <c r="P66" s="20"/>
      <c r="Q66" s="22">
        <f t="shared" si="22"/>
        <v>0</v>
      </c>
      <c r="S66" s="25"/>
      <c r="T66" s="18"/>
      <c r="U66" s="19"/>
      <c r="V66" s="20"/>
      <c r="W66" s="22">
        <f t="shared" si="23"/>
        <v>0</v>
      </c>
    </row>
    <row r="67" spans="1:23" x14ac:dyDescent="0.2">
      <c r="A67" s="17"/>
      <c r="B67" s="18"/>
      <c r="C67" s="19"/>
      <c r="D67" s="20"/>
      <c r="E67" s="22">
        <f t="shared" si="20"/>
        <v>0</v>
      </c>
      <c r="G67" s="25"/>
      <c r="H67" s="18"/>
      <c r="I67" s="46"/>
      <c r="J67" s="22"/>
      <c r="K67" s="22">
        <f t="shared" si="21"/>
        <v>0</v>
      </c>
      <c r="M67" s="25"/>
      <c r="N67" s="18"/>
      <c r="O67" s="19"/>
      <c r="P67" s="20"/>
      <c r="Q67" s="22">
        <f t="shared" si="22"/>
        <v>0</v>
      </c>
      <c r="S67" s="25"/>
      <c r="T67" s="18"/>
      <c r="U67" s="19"/>
      <c r="V67" s="20"/>
      <c r="W67" s="22">
        <f t="shared" si="23"/>
        <v>0</v>
      </c>
    </row>
    <row r="68" spans="1:23" x14ac:dyDescent="0.2">
      <c r="A68" s="17"/>
      <c r="B68" s="18"/>
      <c r="C68" s="19"/>
      <c r="D68" s="20"/>
      <c r="E68" s="22">
        <f t="shared" si="20"/>
        <v>0</v>
      </c>
      <c r="G68" s="25"/>
      <c r="H68" s="18"/>
      <c r="I68" s="46"/>
      <c r="J68" s="22"/>
      <c r="K68" s="22">
        <f t="shared" si="21"/>
        <v>0</v>
      </c>
      <c r="M68" s="25"/>
      <c r="N68" s="18"/>
      <c r="O68" s="19"/>
      <c r="P68" s="20"/>
      <c r="Q68" s="22">
        <f t="shared" si="22"/>
        <v>0</v>
      </c>
      <c r="S68" s="25"/>
      <c r="T68" s="18"/>
      <c r="U68" s="19"/>
      <c r="V68" s="20"/>
      <c r="W68" s="22">
        <f t="shared" si="23"/>
        <v>0</v>
      </c>
    </row>
    <row r="69" spans="1:23" x14ac:dyDescent="0.2">
      <c r="A69" s="17"/>
      <c r="B69" s="18"/>
      <c r="C69" s="19"/>
      <c r="D69" s="20"/>
      <c r="E69" s="22">
        <f t="shared" si="20"/>
        <v>0</v>
      </c>
      <c r="G69" s="46"/>
      <c r="H69" s="46"/>
      <c r="I69" s="46"/>
      <c r="J69" s="22"/>
      <c r="K69" s="22">
        <f t="shared" si="21"/>
        <v>0</v>
      </c>
      <c r="M69" s="46"/>
      <c r="N69" s="46"/>
      <c r="O69" s="46"/>
      <c r="P69" s="22"/>
      <c r="Q69" s="22">
        <f t="shared" si="22"/>
        <v>0</v>
      </c>
      <c r="S69" s="46"/>
      <c r="T69" s="46"/>
      <c r="U69" s="46"/>
      <c r="V69" s="22"/>
      <c r="W69" s="22">
        <f t="shared" si="23"/>
        <v>0</v>
      </c>
    </row>
    <row r="70" spans="1:23" x14ac:dyDescent="0.2">
      <c r="E70" s="24">
        <f>SUM(E57:E69)</f>
        <v>0</v>
      </c>
      <c r="K70" s="24">
        <f>SUM(K57:K69)</f>
        <v>750000</v>
      </c>
      <c r="Q70" s="24">
        <f>SUM(Q57:Q69)</f>
        <v>0</v>
      </c>
      <c r="V70" s="24"/>
      <c r="W70" s="24">
        <f>SUM(W57:W69)</f>
        <v>34472000</v>
      </c>
    </row>
    <row r="71" spans="1:23" x14ac:dyDescent="0.2">
      <c r="Q71" s="24"/>
    </row>
  </sheetData>
  <mergeCells count="126">
    <mergeCell ref="S55:S56"/>
    <mergeCell ref="T55:T56"/>
    <mergeCell ref="U55:U56"/>
    <mergeCell ref="V55:V56"/>
    <mergeCell ref="W55:W56"/>
    <mergeCell ref="A53:W54"/>
    <mergeCell ref="A55:A56"/>
    <mergeCell ref="B55:B56"/>
    <mergeCell ref="C55:C56"/>
    <mergeCell ref="D55:D56"/>
    <mergeCell ref="E55:E56"/>
    <mergeCell ref="G55:G56"/>
    <mergeCell ref="H55:H56"/>
    <mergeCell ref="I55:I56"/>
    <mergeCell ref="J55:J56"/>
    <mergeCell ref="K55:K56"/>
    <mergeCell ref="M55:M56"/>
    <mergeCell ref="N55:N56"/>
    <mergeCell ref="O55:O56"/>
    <mergeCell ref="P55:P56"/>
    <mergeCell ref="Q55:Q56"/>
    <mergeCell ref="M11:M12"/>
    <mergeCell ref="N11:N12"/>
    <mergeCell ref="O11:O12"/>
    <mergeCell ref="P11:P12"/>
    <mergeCell ref="Q11:Q12"/>
    <mergeCell ref="A9:W10"/>
    <mergeCell ref="S11:S12"/>
    <mergeCell ref="T11:T12"/>
    <mergeCell ref="U11:U12"/>
    <mergeCell ref="V11:V12"/>
    <mergeCell ref="W11:W12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K11:K12"/>
    <mergeCell ref="A1:W2"/>
    <mergeCell ref="K3:K4"/>
    <mergeCell ref="B3:B4"/>
    <mergeCell ref="C3:C4"/>
    <mergeCell ref="A3:A4"/>
    <mergeCell ref="G3:G4"/>
    <mergeCell ref="H3:H4"/>
    <mergeCell ref="I3:I4"/>
    <mergeCell ref="D3:D4"/>
    <mergeCell ref="E3:E4"/>
    <mergeCell ref="J3:J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  <mergeCell ref="A17:W18"/>
    <mergeCell ref="S19:S20"/>
    <mergeCell ref="T19:T20"/>
    <mergeCell ref="U19:U20"/>
    <mergeCell ref="V19:V20"/>
    <mergeCell ref="W19:W20"/>
    <mergeCell ref="A19:A20"/>
    <mergeCell ref="B19:B20"/>
    <mergeCell ref="C19:C20"/>
    <mergeCell ref="D19:D20"/>
    <mergeCell ref="E19:E20"/>
    <mergeCell ref="G19:G20"/>
    <mergeCell ref="H19:H20"/>
    <mergeCell ref="I19:I20"/>
    <mergeCell ref="J19:J20"/>
    <mergeCell ref="K19:K20"/>
    <mergeCell ref="M19:M20"/>
    <mergeCell ref="N19:N20"/>
    <mergeCell ref="O19:O20"/>
    <mergeCell ref="P19:P20"/>
    <mergeCell ref="Q19:Q20"/>
    <mergeCell ref="A30:W31"/>
    <mergeCell ref="S32:S33"/>
    <mergeCell ref="T32:T33"/>
    <mergeCell ref="U32:U33"/>
    <mergeCell ref="V32:V33"/>
    <mergeCell ref="W32:W33"/>
    <mergeCell ref="A32:A33"/>
    <mergeCell ref="B32:B33"/>
    <mergeCell ref="C32:C33"/>
    <mergeCell ref="D32:D33"/>
    <mergeCell ref="E32:E33"/>
    <mergeCell ref="G32:G33"/>
    <mergeCell ref="H32:H33"/>
    <mergeCell ref="I32:I33"/>
    <mergeCell ref="J32:J33"/>
    <mergeCell ref="K32:K33"/>
    <mergeCell ref="M32:M33"/>
    <mergeCell ref="N32:N33"/>
    <mergeCell ref="O32:O33"/>
    <mergeCell ref="P32:P33"/>
    <mergeCell ref="Q32:Q33"/>
    <mergeCell ref="A41:W42"/>
    <mergeCell ref="S43:S44"/>
    <mergeCell ref="T43:T44"/>
    <mergeCell ref="U43:U44"/>
    <mergeCell ref="V43:V44"/>
    <mergeCell ref="W43:W44"/>
    <mergeCell ref="A43:A44"/>
    <mergeCell ref="B43:B44"/>
    <mergeCell ref="C43:C44"/>
    <mergeCell ref="D43:D44"/>
    <mergeCell ref="E43:E44"/>
    <mergeCell ref="G43:G44"/>
    <mergeCell ref="H43:H44"/>
    <mergeCell ref="I43:I44"/>
    <mergeCell ref="J43:J44"/>
    <mergeCell ref="K43:K44"/>
    <mergeCell ref="M43:M44"/>
    <mergeCell ref="N43:N44"/>
    <mergeCell ref="O43:O44"/>
    <mergeCell ref="P43:P44"/>
    <mergeCell ref="Q43:Q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0"/>
  <sheetViews>
    <sheetView topLeftCell="A64" workbookViewId="0">
      <selection activeCell="P98" sqref="P98"/>
    </sheetView>
  </sheetViews>
  <sheetFormatPr defaultColWidth="8.88671875" defaultRowHeight="12" x14ac:dyDescent="0.25"/>
  <cols>
    <col min="1" max="1" width="10.109375" style="1" bestFit="1" customWidth="1"/>
    <col min="2" max="2" width="25.88671875" style="1" bestFit="1" customWidth="1"/>
    <col min="3" max="3" width="8.88671875" style="14"/>
    <col min="4" max="4" width="9.88671875" style="5" bestFit="1" customWidth="1"/>
    <col min="5" max="5" width="9.88671875" style="1" bestFit="1" customWidth="1"/>
    <col min="6" max="6" width="2.88671875" style="1" customWidth="1"/>
    <col min="7" max="7" width="10.6640625" style="1" bestFit="1" customWidth="1"/>
    <col min="8" max="8" width="27.5546875" style="1" bestFit="1" customWidth="1"/>
    <col min="9" max="9" width="9.88671875" style="1" bestFit="1" customWidth="1"/>
    <col min="10" max="10" width="8.88671875" style="5"/>
    <col min="11" max="11" width="9.88671875" style="5" bestFit="1" customWidth="1"/>
    <col min="12" max="12" width="2.5546875" style="1" customWidth="1"/>
    <col min="13" max="13" width="9.33203125" style="1" bestFit="1" customWidth="1"/>
    <col min="14" max="14" width="17" style="1" bestFit="1" customWidth="1"/>
    <col min="15" max="16384" width="8.88671875" style="1"/>
  </cols>
  <sheetData>
    <row r="1" spans="1:17" ht="12" customHeight="1" x14ac:dyDescent="0.25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40" t="s">
        <v>0</v>
      </c>
      <c r="B3" s="40" t="s">
        <v>9</v>
      </c>
      <c r="C3" s="42" t="s">
        <v>4</v>
      </c>
      <c r="D3" s="44" t="s">
        <v>2</v>
      </c>
      <c r="E3" s="40" t="s">
        <v>3</v>
      </c>
      <c r="G3" s="40" t="s">
        <v>0</v>
      </c>
      <c r="H3" s="40" t="s">
        <v>10</v>
      </c>
      <c r="I3" s="40" t="s">
        <v>4</v>
      </c>
      <c r="J3" s="44" t="s">
        <v>2</v>
      </c>
      <c r="K3" s="44" t="s">
        <v>3</v>
      </c>
      <c r="M3" s="40" t="s">
        <v>0</v>
      </c>
      <c r="N3" s="40" t="s">
        <v>11</v>
      </c>
      <c r="O3" s="40" t="s">
        <v>4</v>
      </c>
      <c r="P3" s="40" t="s">
        <v>2</v>
      </c>
      <c r="Q3" s="40" t="s">
        <v>3</v>
      </c>
    </row>
    <row r="4" spans="1:17" x14ac:dyDescent="0.25">
      <c r="A4" s="41"/>
      <c r="B4" s="41"/>
      <c r="C4" s="43"/>
      <c r="D4" s="45"/>
      <c r="E4" s="41"/>
      <c r="G4" s="41"/>
      <c r="H4" s="41"/>
      <c r="I4" s="41"/>
      <c r="J4" s="45"/>
      <c r="K4" s="45"/>
      <c r="M4" s="41"/>
      <c r="N4" s="41"/>
      <c r="O4" s="41"/>
      <c r="P4" s="41"/>
      <c r="Q4" s="41"/>
    </row>
    <row r="5" spans="1:17" x14ac:dyDescent="0.25">
      <c r="A5" s="13"/>
      <c r="B5" s="10"/>
      <c r="C5" s="11"/>
      <c r="D5" s="12"/>
      <c r="E5" s="4">
        <f t="shared" ref="E5:E8" si="0">C5*D5</f>
        <v>0</v>
      </c>
      <c r="G5" s="3">
        <v>45695</v>
      </c>
      <c r="H5" s="10" t="s">
        <v>30</v>
      </c>
      <c r="I5" s="11">
        <v>9</v>
      </c>
      <c r="J5" s="12">
        <v>350000</v>
      </c>
      <c r="K5" s="9">
        <f t="shared" ref="K5:K8" si="1">I5*J5</f>
        <v>3150000</v>
      </c>
      <c r="M5" s="2"/>
      <c r="N5" s="2"/>
      <c r="O5" s="2"/>
      <c r="P5" s="2"/>
      <c r="Q5" s="4">
        <f t="shared" ref="Q5:Q8" si="2">O5*P5</f>
        <v>0</v>
      </c>
    </row>
    <row r="6" spans="1:17" x14ac:dyDescent="0.25">
      <c r="A6" s="13"/>
      <c r="B6" s="10"/>
      <c r="C6" s="11"/>
      <c r="D6" s="12"/>
      <c r="E6" s="4">
        <f t="shared" si="0"/>
        <v>0</v>
      </c>
      <c r="G6" s="3">
        <v>45696</v>
      </c>
      <c r="H6" s="10" t="s">
        <v>31</v>
      </c>
      <c r="I6" s="11">
        <f>44/5.5</f>
        <v>8</v>
      </c>
      <c r="J6" s="12">
        <v>360000</v>
      </c>
      <c r="K6" s="9">
        <f t="shared" si="1"/>
        <v>2880000</v>
      </c>
      <c r="M6" s="2"/>
      <c r="N6" s="2"/>
      <c r="O6" s="2"/>
      <c r="P6" s="2"/>
      <c r="Q6" s="4">
        <f t="shared" si="2"/>
        <v>0</v>
      </c>
    </row>
    <row r="7" spans="1:17" x14ac:dyDescent="0.25">
      <c r="A7" s="3"/>
      <c r="B7" s="10"/>
      <c r="C7" s="11"/>
      <c r="D7" s="12"/>
      <c r="E7" s="4">
        <f t="shared" si="0"/>
        <v>0</v>
      </c>
      <c r="G7" s="3">
        <v>45696</v>
      </c>
      <c r="H7" s="10" t="s">
        <v>30</v>
      </c>
      <c r="I7" s="11">
        <v>4</v>
      </c>
      <c r="J7" s="12">
        <v>350000</v>
      </c>
      <c r="K7" s="9">
        <f t="shared" si="1"/>
        <v>1400000</v>
      </c>
      <c r="M7" s="2"/>
      <c r="N7" s="2"/>
      <c r="O7" s="2"/>
      <c r="P7" s="2"/>
      <c r="Q7" s="4">
        <f t="shared" si="2"/>
        <v>0</v>
      </c>
    </row>
    <row r="8" spans="1:17" x14ac:dyDescent="0.25">
      <c r="A8" s="3"/>
      <c r="B8" s="10"/>
      <c r="C8" s="11"/>
      <c r="D8" s="12"/>
      <c r="E8" s="4">
        <f t="shared" si="0"/>
        <v>0</v>
      </c>
      <c r="G8" s="3">
        <v>45712</v>
      </c>
      <c r="H8" s="10" t="s">
        <v>39</v>
      </c>
      <c r="I8" s="11">
        <v>3</v>
      </c>
      <c r="J8" s="12">
        <v>120000</v>
      </c>
      <c r="K8" s="9">
        <f t="shared" si="1"/>
        <v>360000</v>
      </c>
      <c r="M8" s="2"/>
      <c r="N8" s="2"/>
      <c r="O8" s="2"/>
      <c r="P8" s="2"/>
      <c r="Q8" s="4">
        <f t="shared" si="2"/>
        <v>0</v>
      </c>
    </row>
    <row r="9" spans="1:17" x14ac:dyDescent="0.25">
      <c r="E9" s="6">
        <f>SUM(E5:E8)</f>
        <v>0</v>
      </c>
      <c r="I9" s="5"/>
      <c r="K9" s="5">
        <f>SUM(K5:K8)</f>
        <v>7790000</v>
      </c>
      <c r="Q9" s="6">
        <f>SUM(Q5:Q8)</f>
        <v>0</v>
      </c>
    </row>
    <row r="11" spans="1:17" ht="12" customHeight="1" x14ac:dyDescent="0.25">
      <c r="A11" s="33" t="s">
        <v>52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 ht="12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x14ac:dyDescent="0.25">
      <c r="A13" s="40" t="s">
        <v>0</v>
      </c>
      <c r="B13" s="40" t="s">
        <v>9</v>
      </c>
      <c r="C13" s="42" t="s">
        <v>4</v>
      </c>
      <c r="D13" s="44" t="s">
        <v>2</v>
      </c>
      <c r="E13" s="40" t="s">
        <v>3</v>
      </c>
      <c r="G13" s="40" t="s">
        <v>0</v>
      </c>
      <c r="H13" s="40" t="s">
        <v>10</v>
      </c>
      <c r="I13" s="40" t="s">
        <v>4</v>
      </c>
      <c r="J13" s="44" t="s">
        <v>2</v>
      </c>
      <c r="K13" s="44" t="s">
        <v>3</v>
      </c>
      <c r="M13" s="40" t="s">
        <v>0</v>
      </c>
      <c r="N13" s="40" t="s">
        <v>11</v>
      </c>
      <c r="O13" s="40" t="s">
        <v>4</v>
      </c>
      <c r="P13" s="40" t="s">
        <v>2</v>
      </c>
      <c r="Q13" s="40" t="s">
        <v>3</v>
      </c>
    </row>
    <row r="14" spans="1:17" x14ac:dyDescent="0.25">
      <c r="A14" s="41"/>
      <c r="B14" s="41"/>
      <c r="C14" s="43"/>
      <c r="D14" s="45"/>
      <c r="E14" s="41"/>
      <c r="G14" s="41"/>
      <c r="H14" s="41"/>
      <c r="I14" s="41"/>
      <c r="J14" s="45"/>
      <c r="K14" s="45"/>
      <c r="M14" s="41"/>
      <c r="N14" s="41"/>
      <c r="O14" s="41"/>
      <c r="P14" s="41"/>
      <c r="Q14" s="41"/>
    </row>
    <row r="15" spans="1:17" x14ac:dyDescent="0.25">
      <c r="A15" s="13"/>
      <c r="B15" s="10"/>
      <c r="C15" s="11"/>
      <c r="D15" s="12"/>
      <c r="E15" s="4">
        <f t="shared" ref="E15:E19" si="3">C15*D15</f>
        <v>0</v>
      </c>
      <c r="G15" s="13">
        <v>45722</v>
      </c>
      <c r="H15" s="10" t="s">
        <v>56</v>
      </c>
      <c r="I15" s="11">
        <v>33</v>
      </c>
      <c r="J15" s="12">
        <v>125000</v>
      </c>
      <c r="K15" s="9">
        <f t="shared" ref="K15:K19" si="4">I15*J15</f>
        <v>4125000</v>
      </c>
      <c r="M15" s="2"/>
      <c r="N15" s="2"/>
      <c r="O15" s="2"/>
      <c r="P15" s="2"/>
      <c r="Q15" s="4">
        <f t="shared" ref="Q15:Q19" si="5">O15*P15</f>
        <v>0</v>
      </c>
    </row>
    <row r="16" spans="1:17" x14ac:dyDescent="0.25">
      <c r="A16" s="13"/>
      <c r="B16" s="10"/>
      <c r="C16" s="11"/>
      <c r="D16" s="12"/>
      <c r="E16" s="4">
        <f t="shared" si="3"/>
        <v>0</v>
      </c>
      <c r="G16" s="3">
        <v>45724</v>
      </c>
      <c r="H16" s="10" t="s">
        <v>57</v>
      </c>
      <c r="I16" s="11">
        <v>50</v>
      </c>
      <c r="J16" s="12">
        <v>115000</v>
      </c>
      <c r="K16" s="9">
        <f t="shared" si="4"/>
        <v>5750000</v>
      </c>
      <c r="M16" s="2"/>
      <c r="N16" s="2"/>
      <c r="O16" s="2"/>
      <c r="P16" s="2"/>
      <c r="Q16" s="4">
        <f t="shared" si="5"/>
        <v>0</v>
      </c>
    </row>
    <row r="17" spans="1:17" x14ac:dyDescent="0.25">
      <c r="A17" s="3"/>
      <c r="B17" s="10"/>
      <c r="C17" s="11"/>
      <c r="D17" s="12"/>
      <c r="E17" s="4">
        <f t="shared" si="3"/>
        <v>0</v>
      </c>
      <c r="G17" s="3">
        <v>45728</v>
      </c>
      <c r="H17" s="10" t="s">
        <v>56</v>
      </c>
      <c r="I17" s="11">
        <v>30</v>
      </c>
      <c r="J17" s="12">
        <v>125000</v>
      </c>
      <c r="K17" s="9">
        <f t="shared" si="4"/>
        <v>3750000</v>
      </c>
      <c r="M17" s="2"/>
      <c r="N17" s="2"/>
      <c r="O17" s="2"/>
      <c r="P17" s="2"/>
      <c r="Q17" s="4">
        <f t="shared" si="5"/>
        <v>0</v>
      </c>
    </row>
    <row r="18" spans="1:17" x14ac:dyDescent="0.25">
      <c r="A18" s="3"/>
      <c r="B18" s="10"/>
      <c r="C18" s="11"/>
      <c r="D18" s="12"/>
      <c r="E18" s="4">
        <f t="shared" si="3"/>
        <v>0</v>
      </c>
      <c r="G18" s="3">
        <v>45729</v>
      </c>
      <c r="H18" s="10" t="s">
        <v>56</v>
      </c>
      <c r="I18" s="11">
        <v>30</v>
      </c>
      <c r="J18" s="12">
        <v>125000</v>
      </c>
      <c r="K18" s="9">
        <f t="shared" si="4"/>
        <v>3750000</v>
      </c>
      <c r="M18" s="2"/>
      <c r="N18" s="2"/>
      <c r="O18" s="2"/>
      <c r="P18" s="2"/>
      <c r="Q18" s="4">
        <f t="shared" si="5"/>
        <v>0</v>
      </c>
    </row>
    <row r="19" spans="1:17" x14ac:dyDescent="0.25">
      <c r="A19" s="3"/>
      <c r="B19" s="10"/>
      <c r="C19" s="11"/>
      <c r="D19" s="12"/>
      <c r="E19" s="4">
        <f t="shared" si="3"/>
        <v>0</v>
      </c>
      <c r="G19" s="3">
        <v>45729</v>
      </c>
      <c r="H19" s="10" t="s">
        <v>58</v>
      </c>
      <c r="I19" s="11">
        <v>2</v>
      </c>
      <c r="J19" s="12">
        <v>125000</v>
      </c>
      <c r="K19" s="9">
        <f t="shared" si="4"/>
        <v>250000</v>
      </c>
      <c r="M19" s="2"/>
      <c r="N19" s="2"/>
      <c r="O19" s="2"/>
      <c r="P19" s="2"/>
      <c r="Q19" s="4">
        <f t="shared" si="5"/>
        <v>0</v>
      </c>
    </row>
    <row r="20" spans="1:17" x14ac:dyDescent="0.25">
      <c r="E20" s="6">
        <f>SUM(E15:E19)</f>
        <v>0</v>
      </c>
      <c r="I20" s="5"/>
      <c r="K20" s="5">
        <f>SUM(K15:K19)</f>
        <v>17625000</v>
      </c>
      <c r="Q20" s="6">
        <f>SUM(Q15:Q19)</f>
        <v>0</v>
      </c>
    </row>
    <row r="22" spans="1:17" ht="12" customHeight="1" x14ac:dyDescent="0.25">
      <c r="A22" s="33">
        <v>45748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2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x14ac:dyDescent="0.25">
      <c r="A24" s="40" t="s">
        <v>0</v>
      </c>
      <c r="B24" s="40" t="s">
        <v>9</v>
      </c>
      <c r="C24" s="42" t="s">
        <v>4</v>
      </c>
      <c r="D24" s="44" t="s">
        <v>2</v>
      </c>
      <c r="E24" s="40" t="s">
        <v>3</v>
      </c>
      <c r="G24" s="40" t="s">
        <v>0</v>
      </c>
      <c r="H24" s="40" t="s">
        <v>10</v>
      </c>
      <c r="I24" s="40" t="s">
        <v>4</v>
      </c>
      <c r="J24" s="44" t="s">
        <v>2</v>
      </c>
      <c r="K24" s="44" t="s">
        <v>3</v>
      </c>
      <c r="M24" s="40" t="s">
        <v>0</v>
      </c>
      <c r="N24" s="40" t="s">
        <v>11</v>
      </c>
      <c r="O24" s="40" t="s">
        <v>4</v>
      </c>
      <c r="P24" s="40" t="s">
        <v>2</v>
      </c>
      <c r="Q24" s="40" t="s">
        <v>3</v>
      </c>
    </row>
    <row r="25" spans="1:17" x14ac:dyDescent="0.25">
      <c r="A25" s="41"/>
      <c r="B25" s="41"/>
      <c r="C25" s="43"/>
      <c r="D25" s="45"/>
      <c r="E25" s="41"/>
      <c r="G25" s="41"/>
      <c r="H25" s="41"/>
      <c r="I25" s="41"/>
      <c r="J25" s="45"/>
      <c r="K25" s="45"/>
      <c r="M25" s="41"/>
      <c r="N25" s="41"/>
      <c r="O25" s="41"/>
      <c r="P25" s="41"/>
      <c r="Q25" s="41"/>
    </row>
    <row r="26" spans="1:17" x14ac:dyDescent="0.25">
      <c r="A26" s="13"/>
      <c r="B26" s="10"/>
      <c r="C26" s="11"/>
      <c r="D26" s="12"/>
      <c r="E26" s="4">
        <f t="shared" ref="E26:E36" si="6">C26*D26</f>
        <v>0</v>
      </c>
      <c r="G26" s="13">
        <v>45753</v>
      </c>
      <c r="H26" s="10" t="s">
        <v>64</v>
      </c>
      <c r="I26" s="11">
        <v>1</v>
      </c>
      <c r="J26" s="12">
        <v>3768000</v>
      </c>
      <c r="K26" s="9">
        <f t="shared" ref="K26:K33" si="7">I26*J26</f>
        <v>3768000</v>
      </c>
      <c r="M26" s="2"/>
      <c r="N26" s="2"/>
      <c r="O26" s="2"/>
      <c r="P26" s="2"/>
      <c r="Q26" s="4">
        <f t="shared" ref="Q26:Q36" si="8">O26*P26</f>
        <v>0</v>
      </c>
    </row>
    <row r="27" spans="1:17" x14ac:dyDescent="0.25">
      <c r="A27" s="13"/>
      <c r="B27" s="10"/>
      <c r="C27" s="11"/>
      <c r="D27" s="12"/>
      <c r="E27" s="4">
        <f t="shared" si="6"/>
        <v>0</v>
      </c>
      <c r="G27" s="3">
        <v>45758</v>
      </c>
      <c r="H27" s="10" t="s">
        <v>65</v>
      </c>
      <c r="I27" s="11">
        <v>70</v>
      </c>
      <c r="J27" s="12">
        <v>13000</v>
      </c>
      <c r="K27" s="9">
        <f t="shared" si="7"/>
        <v>910000</v>
      </c>
      <c r="M27" s="2"/>
      <c r="N27" s="2"/>
      <c r="O27" s="2"/>
      <c r="P27" s="2"/>
      <c r="Q27" s="4">
        <f t="shared" si="8"/>
        <v>0</v>
      </c>
    </row>
    <row r="28" spans="1:17" x14ac:dyDescent="0.25">
      <c r="A28" s="3"/>
      <c r="B28" s="10"/>
      <c r="C28" s="11"/>
      <c r="D28" s="12"/>
      <c r="E28" s="4">
        <f t="shared" si="6"/>
        <v>0</v>
      </c>
      <c r="G28" s="3">
        <v>45762</v>
      </c>
      <c r="H28" s="10" t="s">
        <v>56</v>
      </c>
      <c r="I28" s="11">
        <v>19</v>
      </c>
      <c r="J28" s="12">
        <v>135000</v>
      </c>
      <c r="K28" s="9">
        <f t="shared" si="7"/>
        <v>2565000</v>
      </c>
      <c r="M28" s="2"/>
      <c r="N28" s="2"/>
      <c r="O28" s="2"/>
      <c r="P28" s="2"/>
      <c r="Q28" s="4">
        <f t="shared" si="8"/>
        <v>0</v>
      </c>
    </row>
    <row r="29" spans="1:17" x14ac:dyDescent="0.25">
      <c r="A29" s="3"/>
      <c r="B29" s="10"/>
      <c r="C29" s="11"/>
      <c r="D29" s="12"/>
      <c r="E29" s="4">
        <f t="shared" si="6"/>
        <v>0</v>
      </c>
      <c r="G29" s="3">
        <v>45762</v>
      </c>
      <c r="H29" s="10" t="s">
        <v>66</v>
      </c>
      <c r="I29" s="11">
        <v>130</v>
      </c>
      <c r="J29" s="12">
        <v>13000</v>
      </c>
      <c r="K29" s="9">
        <f t="shared" si="7"/>
        <v>1690000</v>
      </c>
      <c r="M29" s="2"/>
      <c r="N29" s="2"/>
      <c r="O29" s="2"/>
      <c r="P29" s="2"/>
      <c r="Q29" s="4">
        <f t="shared" si="8"/>
        <v>0</v>
      </c>
    </row>
    <row r="30" spans="1:17" x14ac:dyDescent="0.25">
      <c r="A30" s="3"/>
      <c r="B30" s="10"/>
      <c r="C30" s="11"/>
      <c r="D30" s="12"/>
      <c r="E30" s="4">
        <f t="shared" si="6"/>
        <v>0</v>
      </c>
      <c r="G30" s="3">
        <v>45764</v>
      </c>
      <c r="H30" s="10" t="s">
        <v>67</v>
      </c>
      <c r="I30" s="11">
        <v>10</v>
      </c>
      <c r="J30" s="12">
        <v>50000</v>
      </c>
      <c r="K30" s="9">
        <f t="shared" si="7"/>
        <v>500000</v>
      </c>
      <c r="M30" s="2"/>
      <c r="N30" s="2"/>
      <c r="O30" s="2"/>
      <c r="P30" s="2"/>
      <c r="Q30" s="4">
        <f t="shared" si="8"/>
        <v>0</v>
      </c>
    </row>
    <row r="31" spans="1:17" x14ac:dyDescent="0.25">
      <c r="A31" s="2"/>
      <c r="B31" s="2"/>
      <c r="C31" s="28"/>
      <c r="D31" s="4"/>
      <c r="E31" s="4">
        <f t="shared" si="6"/>
        <v>0</v>
      </c>
      <c r="G31" s="3">
        <v>45764</v>
      </c>
      <c r="H31" s="10" t="s">
        <v>56</v>
      </c>
      <c r="I31" s="11">
        <v>25</v>
      </c>
      <c r="J31" s="12">
        <v>135000</v>
      </c>
      <c r="K31" s="9">
        <f t="shared" si="7"/>
        <v>3375000</v>
      </c>
      <c r="M31" s="2"/>
      <c r="N31" s="2"/>
      <c r="O31" s="2"/>
      <c r="P31" s="2"/>
      <c r="Q31" s="4">
        <f t="shared" si="8"/>
        <v>0</v>
      </c>
    </row>
    <row r="32" spans="1:17" x14ac:dyDescent="0.25">
      <c r="A32" s="2"/>
      <c r="B32" s="2"/>
      <c r="C32" s="28"/>
      <c r="D32" s="4"/>
      <c r="E32" s="4">
        <f t="shared" si="6"/>
        <v>0</v>
      </c>
      <c r="G32" s="3">
        <v>45764</v>
      </c>
      <c r="H32" s="10" t="s">
        <v>68</v>
      </c>
      <c r="I32" s="11">
        <v>2</v>
      </c>
      <c r="J32" s="12">
        <v>270000</v>
      </c>
      <c r="K32" s="9">
        <f t="shared" si="7"/>
        <v>540000</v>
      </c>
      <c r="M32" s="2"/>
      <c r="N32" s="2"/>
      <c r="O32" s="2"/>
      <c r="P32" s="2"/>
      <c r="Q32" s="4">
        <f t="shared" si="8"/>
        <v>0</v>
      </c>
    </row>
    <row r="33" spans="1:17" x14ac:dyDescent="0.25">
      <c r="A33" s="2"/>
      <c r="B33" s="2"/>
      <c r="C33" s="28"/>
      <c r="D33" s="4"/>
      <c r="E33" s="4">
        <f t="shared" si="6"/>
        <v>0</v>
      </c>
      <c r="G33" s="3">
        <v>45767</v>
      </c>
      <c r="H33" s="10" t="s">
        <v>56</v>
      </c>
      <c r="I33" s="11">
        <v>20</v>
      </c>
      <c r="J33" s="12">
        <v>145000</v>
      </c>
      <c r="K33" s="9">
        <f t="shared" si="7"/>
        <v>2900000</v>
      </c>
      <c r="M33" s="2"/>
      <c r="N33" s="2"/>
      <c r="O33" s="2"/>
      <c r="P33" s="2"/>
      <c r="Q33" s="4">
        <f t="shared" si="8"/>
        <v>0</v>
      </c>
    </row>
    <row r="34" spans="1:17" x14ac:dyDescent="0.25">
      <c r="A34" s="2"/>
      <c r="B34" s="2"/>
      <c r="C34" s="28"/>
      <c r="D34" s="4"/>
      <c r="E34" s="4">
        <f t="shared" si="6"/>
        <v>0</v>
      </c>
      <c r="G34" s="13">
        <v>45768</v>
      </c>
      <c r="H34" s="10" t="s">
        <v>69</v>
      </c>
      <c r="I34" s="11">
        <v>7.5</v>
      </c>
      <c r="J34" s="12">
        <v>345000</v>
      </c>
      <c r="K34" s="9">
        <f>I34*J34</f>
        <v>2587500</v>
      </c>
      <c r="M34" s="2"/>
      <c r="N34" s="2"/>
      <c r="O34" s="2"/>
      <c r="P34" s="2"/>
      <c r="Q34" s="4">
        <f t="shared" si="8"/>
        <v>0</v>
      </c>
    </row>
    <row r="35" spans="1:17" x14ac:dyDescent="0.25">
      <c r="A35" s="2"/>
      <c r="B35" s="2"/>
      <c r="C35" s="28"/>
      <c r="D35" s="4"/>
      <c r="E35" s="4">
        <f t="shared" si="6"/>
        <v>0</v>
      </c>
      <c r="G35" s="13">
        <v>45778</v>
      </c>
      <c r="H35" s="10" t="s">
        <v>70</v>
      </c>
      <c r="I35" s="11">
        <v>6</v>
      </c>
      <c r="J35" s="12">
        <v>205000</v>
      </c>
      <c r="K35" s="9">
        <f>I35*J35</f>
        <v>1230000</v>
      </c>
      <c r="M35" s="2"/>
      <c r="N35" s="2"/>
      <c r="O35" s="2"/>
      <c r="P35" s="2"/>
      <c r="Q35" s="4">
        <v>0</v>
      </c>
    </row>
    <row r="36" spans="1:17" x14ac:dyDescent="0.25">
      <c r="A36" s="2"/>
      <c r="B36" s="2"/>
      <c r="C36" s="28"/>
      <c r="D36" s="4"/>
      <c r="E36" s="4">
        <f t="shared" si="6"/>
        <v>0</v>
      </c>
      <c r="G36" s="13">
        <v>45778</v>
      </c>
      <c r="H36" s="10" t="s">
        <v>71</v>
      </c>
      <c r="I36" s="11">
        <f>141/12</f>
        <v>11.75</v>
      </c>
      <c r="J36" s="12">
        <v>240000</v>
      </c>
      <c r="K36" s="9">
        <f>I36*J36</f>
        <v>2820000</v>
      </c>
      <c r="M36" s="2"/>
      <c r="N36" s="2"/>
      <c r="O36" s="2"/>
      <c r="P36" s="2"/>
      <c r="Q36" s="4">
        <f t="shared" si="8"/>
        <v>0</v>
      </c>
    </row>
    <row r="37" spans="1:17" x14ac:dyDescent="0.25">
      <c r="E37" s="6">
        <f>SUM(E26:E36)</f>
        <v>0</v>
      </c>
      <c r="I37" s="5"/>
      <c r="K37" s="5">
        <f>SUM(K26:K36)</f>
        <v>22885500</v>
      </c>
      <c r="Q37" s="6">
        <f>SUM(Q26:Q36)</f>
        <v>0</v>
      </c>
    </row>
    <row r="39" spans="1:17" x14ac:dyDescent="0.25">
      <c r="A39" s="33" t="s">
        <v>93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 x14ac:dyDescent="0.25">
      <c r="A41" s="40" t="s">
        <v>0</v>
      </c>
      <c r="B41" s="40" t="s">
        <v>9</v>
      </c>
      <c r="C41" s="42" t="s">
        <v>4</v>
      </c>
      <c r="D41" s="44" t="s">
        <v>2</v>
      </c>
      <c r="E41" s="40" t="s">
        <v>3</v>
      </c>
      <c r="G41" s="40" t="s">
        <v>0</v>
      </c>
      <c r="H41" s="40" t="s">
        <v>10</v>
      </c>
      <c r="I41" s="40" t="s">
        <v>4</v>
      </c>
      <c r="J41" s="44" t="s">
        <v>2</v>
      </c>
      <c r="K41" s="44" t="s">
        <v>3</v>
      </c>
      <c r="M41" s="40" t="s">
        <v>0</v>
      </c>
      <c r="N41" s="40" t="s">
        <v>11</v>
      </c>
      <c r="O41" s="40" t="s">
        <v>4</v>
      </c>
      <c r="P41" s="40" t="s">
        <v>2</v>
      </c>
      <c r="Q41" s="40" t="s">
        <v>3</v>
      </c>
    </row>
    <row r="42" spans="1:17" x14ac:dyDescent="0.25">
      <c r="A42" s="41"/>
      <c r="B42" s="41"/>
      <c r="C42" s="43"/>
      <c r="D42" s="45"/>
      <c r="E42" s="41"/>
      <c r="G42" s="41"/>
      <c r="H42" s="41"/>
      <c r="I42" s="41"/>
      <c r="J42" s="45"/>
      <c r="K42" s="45"/>
      <c r="M42" s="41"/>
      <c r="N42" s="41"/>
      <c r="O42" s="41"/>
      <c r="P42" s="41"/>
      <c r="Q42" s="41"/>
    </row>
    <row r="43" spans="1:17" x14ac:dyDescent="0.25">
      <c r="A43" s="13"/>
      <c r="B43" s="10"/>
      <c r="C43" s="11"/>
      <c r="D43" s="12"/>
      <c r="E43" s="4">
        <f t="shared" ref="E43:E52" si="9">C43*D43</f>
        <v>0</v>
      </c>
      <c r="G43" s="13">
        <v>45786</v>
      </c>
      <c r="H43" s="10" t="s">
        <v>30</v>
      </c>
      <c r="I43" s="11">
        <v>2</v>
      </c>
      <c r="J43" s="12">
        <v>335000</v>
      </c>
      <c r="K43" s="9">
        <f t="shared" ref="K43:K50" si="10">I43*J43</f>
        <v>670000</v>
      </c>
      <c r="M43" s="2"/>
      <c r="N43" s="2"/>
      <c r="O43" s="2"/>
      <c r="P43" s="2"/>
      <c r="Q43" s="4">
        <f t="shared" ref="Q43:Q51" si="11">O43*P43</f>
        <v>0</v>
      </c>
    </row>
    <row r="44" spans="1:17" x14ac:dyDescent="0.25">
      <c r="A44" s="13"/>
      <c r="B44" s="10"/>
      <c r="C44" s="11"/>
      <c r="D44" s="12"/>
      <c r="E44" s="4">
        <f t="shared" si="9"/>
        <v>0</v>
      </c>
      <c r="G44" s="3">
        <v>45792</v>
      </c>
      <c r="H44" s="10" t="s">
        <v>68</v>
      </c>
      <c r="I44" s="11">
        <f>40/6</f>
        <v>6.666666666666667</v>
      </c>
      <c r="J44" s="12">
        <v>270000</v>
      </c>
      <c r="K44" s="9">
        <f t="shared" si="10"/>
        <v>1800000</v>
      </c>
      <c r="M44" s="2"/>
      <c r="N44" s="2"/>
      <c r="O44" s="2"/>
      <c r="P44" s="2"/>
      <c r="Q44" s="4">
        <f t="shared" si="11"/>
        <v>0</v>
      </c>
    </row>
    <row r="45" spans="1:17" x14ac:dyDescent="0.25">
      <c r="A45" s="3"/>
      <c r="B45" s="10"/>
      <c r="C45" s="11"/>
      <c r="D45" s="12"/>
      <c r="E45" s="4">
        <f t="shared" si="9"/>
        <v>0</v>
      </c>
      <c r="G45" s="3">
        <v>45794</v>
      </c>
      <c r="H45" s="10" t="s">
        <v>100</v>
      </c>
      <c r="I45" s="11">
        <v>4.5</v>
      </c>
      <c r="J45" s="12">
        <v>240000</v>
      </c>
      <c r="K45" s="9">
        <f t="shared" si="10"/>
        <v>1080000</v>
      </c>
      <c r="M45" s="2"/>
      <c r="N45" s="2"/>
      <c r="O45" s="2"/>
      <c r="P45" s="2"/>
      <c r="Q45" s="4">
        <f t="shared" si="11"/>
        <v>0</v>
      </c>
    </row>
    <row r="46" spans="1:17" x14ac:dyDescent="0.25">
      <c r="A46" s="3"/>
      <c r="B46" s="10"/>
      <c r="C46" s="11"/>
      <c r="D46" s="12"/>
      <c r="E46" s="4">
        <f t="shared" si="9"/>
        <v>0</v>
      </c>
      <c r="G46" s="3">
        <v>45795</v>
      </c>
      <c r="H46" s="10" t="s">
        <v>30</v>
      </c>
      <c r="I46" s="11">
        <v>5</v>
      </c>
      <c r="J46" s="12">
        <v>340000</v>
      </c>
      <c r="K46" s="9">
        <f t="shared" si="10"/>
        <v>1700000</v>
      </c>
      <c r="M46" s="2"/>
      <c r="N46" s="2"/>
      <c r="O46" s="2"/>
      <c r="P46" s="2"/>
      <c r="Q46" s="4">
        <f t="shared" si="11"/>
        <v>0</v>
      </c>
    </row>
    <row r="47" spans="1:17" x14ac:dyDescent="0.25">
      <c r="A47" s="3"/>
      <c r="B47" s="10"/>
      <c r="C47" s="11"/>
      <c r="D47" s="12"/>
      <c r="E47" s="4">
        <f t="shared" si="9"/>
        <v>0</v>
      </c>
      <c r="G47" s="3">
        <v>45795</v>
      </c>
      <c r="H47" s="10" t="s">
        <v>101</v>
      </c>
      <c r="I47" s="11">
        <v>16</v>
      </c>
      <c r="J47" s="12">
        <v>130000</v>
      </c>
      <c r="K47" s="9">
        <f t="shared" si="10"/>
        <v>2080000</v>
      </c>
      <c r="M47" s="2"/>
      <c r="N47" s="2"/>
      <c r="O47" s="2"/>
      <c r="P47" s="2"/>
      <c r="Q47" s="4">
        <f t="shared" si="11"/>
        <v>0</v>
      </c>
    </row>
    <row r="48" spans="1:17" x14ac:dyDescent="0.25">
      <c r="A48" s="2"/>
      <c r="B48" s="2"/>
      <c r="C48" s="28"/>
      <c r="D48" s="4"/>
      <c r="E48" s="4">
        <f t="shared" si="9"/>
        <v>0</v>
      </c>
      <c r="G48" s="3">
        <v>45795</v>
      </c>
      <c r="H48" s="10" t="s">
        <v>102</v>
      </c>
      <c r="I48" s="11">
        <v>16</v>
      </c>
      <c r="J48" s="12">
        <v>240000</v>
      </c>
      <c r="K48" s="9">
        <f t="shared" si="10"/>
        <v>3840000</v>
      </c>
      <c r="M48" s="2"/>
      <c r="N48" s="2"/>
      <c r="O48" s="2"/>
      <c r="P48" s="2"/>
      <c r="Q48" s="4">
        <f t="shared" si="11"/>
        <v>0</v>
      </c>
    </row>
    <row r="49" spans="1:17" x14ac:dyDescent="0.25">
      <c r="A49" s="2"/>
      <c r="B49" s="2"/>
      <c r="C49" s="28"/>
      <c r="D49" s="4"/>
      <c r="E49" s="4">
        <f t="shared" si="9"/>
        <v>0</v>
      </c>
      <c r="G49" s="3">
        <v>45801</v>
      </c>
      <c r="H49" s="10" t="s">
        <v>30</v>
      </c>
      <c r="I49" s="11">
        <v>5</v>
      </c>
      <c r="J49" s="12">
        <v>340000</v>
      </c>
      <c r="K49" s="9">
        <f t="shared" si="10"/>
        <v>1700000</v>
      </c>
      <c r="M49" s="2"/>
      <c r="N49" s="2"/>
      <c r="O49" s="2"/>
      <c r="P49" s="2"/>
      <c r="Q49" s="4">
        <f t="shared" si="11"/>
        <v>0</v>
      </c>
    </row>
    <row r="50" spans="1:17" x14ac:dyDescent="0.25">
      <c r="A50" s="2"/>
      <c r="B50" s="2"/>
      <c r="C50" s="28"/>
      <c r="D50" s="4"/>
      <c r="E50" s="4">
        <f t="shared" si="9"/>
        <v>0</v>
      </c>
      <c r="G50" s="3">
        <v>45801</v>
      </c>
      <c r="H50" s="10" t="s">
        <v>29</v>
      </c>
      <c r="I50" s="11">
        <v>5</v>
      </c>
      <c r="J50" s="12">
        <v>120000</v>
      </c>
      <c r="K50" s="9">
        <f t="shared" si="10"/>
        <v>600000</v>
      </c>
      <c r="M50" s="2"/>
      <c r="N50" s="2"/>
      <c r="O50" s="2"/>
      <c r="P50" s="2"/>
      <c r="Q50" s="4">
        <f t="shared" si="11"/>
        <v>0</v>
      </c>
    </row>
    <row r="51" spans="1:17" x14ac:dyDescent="0.25">
      <c r="A51" s="2"/>
      <c r="B51" s="2"/>
      <c r="C51" s="28"/>
      <c r="D51" s="4"/>
      <c r="E51" s="4">
        <f t="shared" si="9"/>
        <v>0</v>
      </c>
      <c r="G51" s="13">
        <v>45804</v>
      </c>
      <c r="H51" s="10" t="s">
        <v>68</v>
      </c>
      <c r="I51" s="11">
        <v>10</v>
      </c>
      <c r="J51" s="12">
        <v>270000</v>
      </c>
      <c r="K51" s="9">
        <f>I51*J51</f>
        <v>2700000</v>
      </c>
      <c r="M51" s="2"/>
      <c r="N51" s="2"/>
      <c r="O51" s="2"/>
      <c r="P51" s="2"/>
      <c r="Q51" s="4">
        <f t="shared" si="11"/>
        <v>0</v>
      </c>
    </row>
    <row r="52" spans="1:17" x14ac:dyDescent="0.25">
      <c r="A52" s="2"/>
      <c r="B52" s="2"/>
      <c r="C52" s="28"/>
      <c r="D52" s="4"/>
      <c r="E52" s="4">
        <f t="shared" si="9"/>
        <v>0</v>
      </c>
      <c r="G52" s="13">
        <v>45805</v>
      </c>
      <c r="H52" s="10" t="s">
        <v>74</v>
      </c>
      <c r="I52" s="11">
        <v>55</v>
      </c>
      <c r="J52" s="12">
        <v>105000</v>
      </c>
      <c r="K52" s="9">
        <f>I52*J52</f>
        <v>5775000</v>
      </c>
      <c r="M52" s="2"/>
      <c r="N52" s="2"/>
      <c r="O52" s="2"/>
      <c r="P52" s="2"/>
      <c r="Q52" s="4">
        <v>0</v>
      </c>
    </row>
    <row r="53" spans="1:17" x14ac:dyDescent="0.25">
      <c r="A53" s="2"/>
      <c r="B53" s="2"/>
      <c r="C53" s="28"/>
      <c r="D53" s="4"/>
      <c r="E53" s="4"/>
      <c r="G53" s="13">
        <v>45809</v>
      </c>
      <c r="H53" s="10" t="s">
        <v>83</v>
      </c>
      <c r="I53" s="11">
        <v>3</v>
      </c>
      <c r="J53" s="12">
        <v>105000</v>
      </c>
      <c r="K53" s="9">
        <f t="shared" ref="K53:K57" si="12">I53*J53</f>
        <v>315000</v>
      </c>
      <c r="M53" s="2"/>
      <c r="N53" s="2"/>
      <c r="O53" s="2"/>
      <c r="P53" s="2"/>
      <c r="Q53" s="4"/>
    </row>
    <row r="54" spans="1:17" x14ac:dyDescent="0.25">
      <c r="A54" s="2"/>
      <c r="B54" s="2"/>
      <c r="C54" s="28"/>
      <c r="D54" s="4"/>
      <c r="E54" s="4"/>
      <c r="G54" s="13">
        <v>45809</v>
      </c>
      <c r="H54" s="10" t="s">
        <v>68</v>
      </c>
      <c r="I54" s="11">
        <f>11/6</f>
        <v>1.8333333333333333</v>
      </c>
      <c r="J54" s="12">
        <v>265000</v>
      </c>
      <c r="K54" s="9">
        <f t="shared" si="12"/>
        <v>485833.33333333331</v>
      </c>
      <c r="M54" s="2"/>
      <c r="N54" s="2"/>
      <c r="O54" s="2"/>
      <c r="P54" s="2"/>
      <c r="Q54" s="4"/>
    </row>
    <row r="55" spans="1:17" x14ac:dyDescent="0.25">
      <c r="A55" s="2"/>
      <c r="B55" s="2"/>
      <c r="C55" s="28"/>
      <c r="D55" s="4"/>
      <c r="E55" s="4"/>
      <c r="G55" s="13">
        <v>45809</v>
      </c>
      <c r="H55" s="10" t="s">
        <v>38</v>
      </c>
      <c r="I55" s="11">
        <v>1</v>
      </c>
      <c r="J55" s="12">
        <v>235000</v>
      </c>
      <c r="K55" s="9">
        <f t="shared" si="12"/>
        <v>235000</v>
      </c>
      <c r="M55" s="2"/>
      <c r="N55" s="2"/>
      <c r="O55" s="2"/>
      <c r="P55" s="2"/>
      <c r="Q55" s="4"/>
    </row>
    <row r="56" spans="1:17" x14ac:dyDescent="0.25">
      <c r="A56" s="2"/>
      <c r="B56" s="2"/>
      <c r="C56" s="28"/>
      <c r="D56" s="4"/>
      <c r="E56" s="4"/>
      <c r="G56" s="13">
        <v>45809</v>
      </c>
      <c r="H56" s="10" t="s">
        <v>71</v>
      </c>
      <c r="I56" s="11">
        <v>3</v>
      </c>
      <c r="J56" s="12">
        <v>240000</v>
      </c>
      <c r="K56" s="9">
        <f t="shared" si="12"/>
        <v>720000</v>
      </c>
      <c r="M56" s="2"/>
      <c r="N56" s="2"/>
      <c r="O56" s="2"/>
      <c r="P56" s="2"/>
      <c r="Q56" s="4"/>
    </row>
    <row r="57" spans="1:17" x14ac:dyDescent="0.25">
      <c r="A57" s="2"/>
      <c r="B57" s="2"/>
      <c r="C57" s="28"/>
      <c r="D57" s="4"/>
      <c r="E57" s="4"/>
      <c r="G57" s="13">
        <v>45809</v>
      </c>
      <c r="H57" s="10" t="s">
        <v>103</v>
      </c>
      <c r="I57" s="11">
        <v>15</v>
      </c>
      <c r="J57" s="12">
        <v>180000</v>
      </c>
      <c r="K57" s="9">
        <f t="shared" si="12"/>
        <v>2700000</v>
      </c>
      <c r="M57" s="2"/>
      <c r="N57" s="2"/>
      <c r="O57" s="2"/>
      <c r="P57" s="2"/>
      <c r="Q57" s="4"/>
    </row>
    <row r="58" spans="1:17" x14ac:dyDescent="0.25">
      <c r="E58" s="6">
        <f>SUM(E43:E57)</f>
        <v>0</v>
      </c>
      <c r="I58" s="5"/>
      <c r="K58" s="5">
        <f>SUM(K43:K57)</f>
        <v>26400833.333333332</v>
      </c>
      <c r="Q58" s="6">
        <f>SUM(Q43:Q57)</f>
        <v>0</v>
      </c>
    </row>
    <row r="60" spans="1:17" x14ac:dyDescent="0.25">
      <c r="A60" s="33" t="s">
        <v>115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1:17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1:17" x14ac:dyDescent="0.25">
      <c r="A62" s="40" t="s">
        <v>0</v>
      </c>
      <c r="B62" s="40" t="s">
        <v>9</v>
      </c>
      <c r="C62" s="42" t="s">
        <v>4</v>
      </c>
      <c r="D62" s="44" t="s">
        <v>2</v>
      </c>
      <c r="E62" s="40" t="s">
        <v>3</v>
      </c>
      <c r="G62" s="40" t="s">
        <v>0</v>
      </c>
      <c r="H62" s="40" t="s">
        <v>10</v>
      </c>
      <c r="I62" s="40" t="s">
        <v>4</v>
      </c>
      <c r="J62" s="44" t="s">
        <v>2</v>
      </c>
      <c r="K62" s="44" t="s">
        <v>3</v>
      </c>
      <c r="M62" s="40" t="s">
        <v>0</v>
      </c>
      <c r="N62" s="40" t="s">
        <v>11</v>
      </c>
      <c r="O62" s="40" t="s">
        <v>4</v>
      </c>
      <c r="P62" s="40" t="s">
        <v>2</v>
      </c>
      <c r="Q62" s="40" t="s">
        <v>3</v>
      </c>
    </row>
    <row r="63" spans="1:17" x14ac:dyDescent="0.25">
      <c r="A63" s="41"/>
      <c r="B63" s="41"/>
      <c r="C63" s="43"/>
      <c r="D63" s="45"/>
      <c r="E63" s="41"/>
      <c r="G63" s="41"/>
      <c r="H63" s="41"/>
      <c r="I63" s="41"/>
      <c r="J63" s="45"/>
      <c r="K63" s="45"/>
      <c r="M63" s="41"/>
      <c r="N63" s="41"/>
      <c r="O63" s="41"/>
      <c r="P63" s="41"/>
      <c r="Q63" s="41"/>
    </row>
    <row r="64" spans="1:17" x14ac:dyDescent="0.25">
      <c r="A64" s="13"/>
      <c r="B64" s="10"/>
      <c r="C64" s="11"/>
      <c r="D64" s="12"/>
      <c r="E64" s="4">
        <f t="shared" ref="E64:E84" si="13">C64*D64</f>
        <v>0</v>
      </c>
      <c r="G64" s="13">
        <v>45833</v>
      </c>
      <c r="H64" s="10" t="s">
        <v>87</v>
      </c>
      <c r="I64" s="11">
        <f>35/5.5</f>
        <v>6.3636363636363633</v>
      </c>
      <c r="J64" s="12">
        <f>47000*5.5</f>
        <v>258500</v>
      </c>
      <c r="K64" s="9">
        <f t="shared" ref="K64:K71" si="14">I64*J64</f>
        <v>1645000</v>
      </c>
      <c r="M64" s="2"/>
      <c r="N64" s="2"/>
      <c r="O64" s="2"/>
      <c r="P64" s="2"/>
      <c r="Q64" s="4">
        <f t="shared" ref="Q64:Q83" si="15">O64*P64</f>
        <v>0</v>
      </c>
    </row>
    <row r="65" spans="1:17" x14ac:dyDescent="0.25">
      <c r="A65" s="13"/>
      <c r="B65" s="10"/>
      <c r="C65" s="11"/>
      <c r="D65" s="12"/>
      <c r="E65" s="4">
        <f t="shared" si="13"/>
        <v>0</v>
      </c>
      <c r="G65" s="13">
        <v>45833</v>
      </c>
      <c r="H65" s="10" t="s">
        <v>37</v>
      </c>
      <c r="I65" s="11">
        <f>9/6</f>
        <v>1.5</v>
      </c>
      <c r="J65" s="12">
        <f>25000*5.5</f>
        <v>137500</v>
      </c>
      <c r="K65" s="9">
        <f t="shared" si="14"/>
        <v>206250</v>
      </c>
      <c r="M65" s="2"/>
      <c r="N65" s="2"/>
      <c r="O65" s="2"/>
      <c r="P65" s="2"/>
      <c r="Q65" s="4">
        <f t="shared" si="15"/>
        <v>0</v>
      </c>
    </row>
    <row r="66" spans="1:17" x14ac:dyDescent="0.25">
      <c r="A66" s="3"/>
      <c r="B66" s="10"/>
      <c r="C66" s="11"/>
      <c r="D66" s="12"/>
      <c r="E66" s="4">
        <f t="shared" si="13"/>
        <v>0</v>
      </c>
      <c r="G66" s="13">
        <v>45833</v>
      </c>
      <c r="H66" s="10" t="s">
        <v>68</v>
      </c>
      <c r="I66" s="11">
        <f>15/6</f>
        <v>2.5</v>
      </c>
      <c r="J66" s="12">
        <f>43000*6</f>
        <v>258000</v>
      </c>
      <c r="K66" s="9">
        <f t="shared" si="14"/>
        <v>645000</v>
      </c>
      <c r="M66" s="2"/>
      <c r="N66" s="2"/>
      <c r="O66" s="2"/>
      <c r="P66" s="2"/>
      <c r="Q66" s="4">
        <f t="shared" si="15"/>
        <v>0</v>
      </c>
    </row>
    <row r="67" spans="1:17" x14ac:dyDescent="0.25">
      <c r="A67" s="3"/>
      <c r="B67" s="10"/>
      <c r="C67" s="11"/>
      <c r="D67" s="12"/>
      <c r="E67" s="4">
        <f t="shared" si="13"/>
        <v>0</v>
      </c>
      <c r="G67" s="13">
        <v>45833</v>
      </c>
      <c r="H67" s="10" t="s">
        <v>116</v>
      </c>
      <c r="I67" s="11">
        <v>3</v>
      </c>
      <c r="J67" s="12">
        <v>315000</v>
      </c>
      <c r="K67" s="9">
        <f t="shared" si="14"/>
        <v>945000</v>
      </c>
      <c r="M67" s="2"/>
      <c r="N67" s="2"/>
      <c r="O67" s="2"/>
      <c r="P67" s="2"/>
      <c r="Q67" s="4">
        <f t="shared" si="15"/>
        <v>0</v>
      </c>
    </row>
    <row r="68" spans="1:17" x14ac:dyDescent="0.25">
      <c r="A68" s="3"/>
      <c r="B68" s="10"/>
      <c r="C68" s="11"/>
      <c r="D68" s="12"/>
      <c r="E68" s="4">
        <f t="shared" si="13"/>
        <v>0</v>
      </c>
      <c r="G68" s="3">
        <v>45849</v>
      </c>
      <c r="H68" s="10" t="s">
        <v>31</v>
      </c>
      <c r="I68" s="11">
        <f>59/5.5</f>
        <v>10.727272727272727</v>
      </c>
      <c r="J68" s="12">
        <f>68000*5.5</f>
        <v>374000</v>
      </c>
      <c r="K68" s="9">
        <f t="shared" si="14"/>
        <v>4011999.9999999995</v>
      </c>
      <c r="M68" s="2"/>
      <c r="N68" s="2"/>
      <c r="O68" s="2"/>
      <c r="P68" s="2"/>
      <c r="Q68" s="4">
        <f t="shared" si="15"/>
        <v>0</v>
      </c>
    </row>
    <row r="69" spans="1:17" x14ac:dyDescent="0.25">
      <c r="A69" s="2"/>
      <c r="B69" s="2"/>
      <c r="C69" s="28"/>
      <c r="D69" s="4"/>
      <c r="E69" s="4">
        <f t="shared" si="13"/>
        <v>0</v>
      </c>
      <c r="G69" s="3">
        <v>45849</v>
      </c>
      <c r="H69" s="10" t="s">
        <v>117</v>
      </c>
      <c r="I69" s="11">
        <v>100</v>
      </c>
      <c r="J69" s="12">
        <v>12000</v>
      </c>
      <c r="K69" s="9">
        <f t="shared" si="14"/>
        <v>1200000</v>
      </c>
      <c r="M69" s="2"/>
      <c r="N69" s="2"/>
      <c r="O69" s="2"/>
      <c r="P69" s="2"/>
      <c r="Q69" s="4">
        <f t="shared" si="15"/>
        <v>0</v>
      </c>
    </row>
    <row r="70" spans="1:17" x14ac:dyDescent="0.25">
      <c r="A70" s="2"/>
      <c r="B70" s="2"/>
      <c r="C70" s="28"/>
      <c r="D70" s="4"/>
      <c r="E70" s="4">
        <f t="shared" si="13"/>
        <v>0</v>
      </c>
      <c r="G70" s="3">
        <v>45851</v>
      </c>
      <c r="H70" s="10" t="s">
        <v>118</v>
      </c>
      <c r="I70" s="11">
        <v>50</v>
      </c>
      <c r="J70" s="12">
        <v>12000</v>
      </c>
      <c r="K70" s="9">
        <f t="shared" si="14"/>
        <v>600000</v>
      </c>
      <c r="M70" s="2"/>
      <c r="N70" s="2"/>
      <c r="O70" s="2"/>
      <c r="P70" s="2"/>
      <c r="Q70" s="4">
        <f t="shared" si="15"/>
        <v>0</v>
      </c>
    </row>
    <row r="71" spans="1:17" x14ac:dyDescent="0.25">
      <c r="A71" s="2"/>
      <c r="B71" s="2"/>
      <c r="C71" s="28"/>
      <c r="D71" s="4"/>
      <c r="E71" s="4">
        <f t="shared" si="13"/>
        <v>0</v>
      </c>
      <c r="G71" s="3">
        <v>45853</v>
      </c>
      <c r="H71" s="10" t="s">
        <v>31</v>
      </c>
      <c r="I71" s="11">
        <f>50/5.5</f>
        <v>9.0909090909090917</v>
      </c>
      <c r="J71" s="12">
        <f>68000*5.5</f>
        <v>374000</v>
      </c>
      <c r="K71" s="9">
        <f t="shared" si="14"/>
        <v>3400000.0000000005</v>
      </c>
      <c r="M71" s="2"/>
      <c r="N71" s="2"/>
      <c r="O71" s="2"/>
      <c r="P71" s="2"/>
      <c r="Q71" s="4">
        <f t="shared" si="15"/>
        <v>0</v>
      </c>
    </row>
    <row r="72" spans="1:17" x14ac:dyDescent="0.25">
      <c r="A72" s="2"/>
      <c r="B72" s="2"/>
      <c r="C72" s="28"/>
      <c r="D72" s="4"/>
      <c r="E72" s="4">
        <f t="shared" si="13"/>
        <v>0</v>
      </c>
      <c r="G72" s="3">
        <v>45853</v>
      </c>
      <c r="H72" s="10" t="s">
        <v>116</v>
      </c>
      <c r="I72" s="11">
        <f>20/4</f>
        <v>5</v>
      </c>
      <c r="J72" s="12">
        <v>320000</v>
      </c>
      <c r="K72" s="9">
        <f>I72*J72</f>
        <v>1600000</v>
      </c>
      <c r="M72" s="2"/>
      <c r="N72" s="2"/>
      <c r="O72" s="2"/>
      <c r="P72" s="2"/>
      <c r="Q72" s="4">
        <f t="shared" si="15"/>
        <v>0</v>
      </c>
    </row>
    <row r="73" spans="1:17" x14ac:dyDescent="0.25">
      <c r="A73" s="2"/>
      <c r="B73" s="2"/>
      <c r="C73" s="28"/>
      <c r="D73" s="4"/>
      <c r="E73" s="4">
        <f t="shared" si="13"/>
        <v>0</v>
      </c>
      <c r="G73" s="3">
        <v>45853</v>
      </c>
      <c r="H73" s="10" t="s">
        <v>29</v>
      </c>
      <c r="I73" s="11">
        <v>16</v>
      </c>
      <c r="J73" s="12">
        <v>115000</v>
      </c>
      <c r="K73" s="9">
        <f>I73*J73</f>
        <v>1840000</v>
      </c>
      <c r="M73" s="2"/>
      <c r="N73" s="2"/>
      <c r="O73" s="2"/>
      <c r="P73" s="2"/>
      <c r="Q73" s="4">
        <v>0</v>
      </c>
    </row>
    <row r="74" spans="1:17" x14ac:dyDescent="0.25">
      <c r="A74" s="2"/>
      <c r="B74" s="2"/>
      <c r="C74" s="28"/>
      <c r="D74" s="4"/>
      <c r="E74" s="4"/>
      <c r="G74" s="3">
        <v>45853</v>
      </c>
      <c r="H74" s="10" t="s">
        <v>119</v>
      </c>
      <c r="I74" s="11">
        <v>20</v>
      </c>
      <c r="J74" s="12">
        <v>145000</v>
      </c>
      <c r="K74" s="9">
        <f t="shared" ref="K74:K85" si="16">I74*J74</f>
        <v>2900000</v>
      </c>
      <c r="M74" s="2"/>
      <c r="N74" s="2"/>
      <c r="O74" s="2"/>
      <c r="P74" s="2"/>
      <c r="Q74" s="4"/>
    </row>
    <row r="75" spans="1:17" x14ac:dyDescent="0.25">
      <c r="A75" s="2"/>
      <c r="B75" s="2"/>
      <c r="C75" s="28"/>
      <c r="D75" s="4"/>
      <c r="E75" s="4"/>
      <c r="G75" s="3">
        <v>45853</v>
      </c>
      <c r="H75" s="10" t="s">
        <v>120</v>
      </c>
      <c r="I75" s="11">
        <f>30/2.5</f>
        <v>12</v>
      </c>
      <c r="J75" s="12">
        <f>75000*2.5</f>
        <v>187500</v>
      </c>
      <c r="K75" s="9">
        <f t="shared" si="16"/>
        <v>2250000</v>
      </c>
      <c r="M75" s="2"/>
      <c r="N75" s="2"/>
      <c r="O75" s="2"/>
      <c r="P75" s="2"/>
      <c r="Q75" s="4"/>
    </row>
    <row r="76" spans="1:17" x14ac:dyDescent="0.25">
      <c r="A76" s="2"/>
      <c r="B76" s="2"/>
      <c r="C76" s="28"/>
      <c r="D76" s="4"/>
      <c r="E76" s="4"/>
      <c r="G76" s="13">
        <v>45858</v>
      </c>
      <c r="H76" s="10" t="s">
        <v>117</v>
      </c>
      <c r="I76" s="11">
        <v>60</v>
      </c>
      <c r="J76" s="12">
        <v>12000</v>
      </c>
      <c r="K76" s="9">
        <f t="shared" si="16"/>
        <v>720000</v>
      </c>
      <c r="M76" s="2"/>
      <c r="N76" s="2"/>
      <c r="O76" s="2"/>
      <c r="P76" s="2"/>
      <c r="Q76" s="4"/>
    </row>
    <row r="77" spans="1:17" x14ac:dyDescent="0.25">
      <c r="A77" s="2"/>
      <c r="B77" s="2"/>
      <c r="C77" s="28"/>
      <c r="D77" s="4"/>
      <c r="E77" s="4"/>
      <c r="G77" s="13">
        <v>45858</v>
      </c>
      <c r="H77" s="10" t="s">
        <v>121</v>
      </c>
      <c r="I77" s="11">
        <f>27/5.5</f>
        <v>4.9090909090909092</v>
      </c>
      <c r="J77" s="12">
        <v>220000</v>
      </c>
      <c r="K77" s="9">
        <f t="shared" si="16"/>
        <v>1080000</v>
      </c>
      <c r="M77" s="2"/>
      <c r="N77" s="2"/>
      <c r="O77" s="2"/>
      <c r="P77" s="2"/>
      <c r="Q77" s="4"/>
    </row>
    <row r="78" spans="1:17" x14ac:dyDescent="0.25">
      <c r="A78" s="2"/>
      <c r="B78" s="2"/>
      <c r="C78" s="28"/>
      <c r="D78" s="4"/>
      <c r="E78" s="4"/>
      <c r="G78" s="13">
        <v>45858</v>
      </c>
      <c r="H78" s="10" t="s">
        <v>118</v>
      </c>
      <c r="I78" s="11">
        <v>50</v>
      </c>
      <c r="J78" s="12">
        <v>12000</v>
      </c>
      <c r="K78" s="9">
        <f t="shared" si="16"/>
        <v>600000</v>
      </c>
      <c r="M78" s="2"/>
      <c r="N78" s="2"/>
      <c r="O78" s="2"/>
      <c r="P78" s="2"/>
      <c r="Q78" s="4"/>
    </row>
    <row r="79" spans="1:17" x14ac:dyDescent="0.25">
      <c r="A79" s="2"/>
      <c r="B79" s="2"/>
      <c r="C79" s="28"/>
      <c r="D79" s="4"/>
      <c r="E79" s="4"/>
      <c r="G79" s="13">
        <v>45858</v>
      </c>
      <c r="H79" s="10" t="s">
        <v>122</v>
      </c>
      <c r="I79" s="11">
        <v>2</v>
      </c>
      <c r="J79" s="12">
        <v>95000</v>
      </c>
      <c r="K79" s="9">
        <f t="shared" si="16"/>
        <v>190000</v>
      </c>
      <c r="M79" s="2"/>
      <c r="N79" s="2"/>
      <c r="O79" s="2"/>
      <c r="P79" s="2"/>
      <c r="Q79" s="4"/>
    </row>
    <row r="80" spans="1:17" x14ac:dyDescent="0.25">
      <c r="A80" s="2"/>
      <c r="B80" s="2"/>
      <c r="C80" s="28"/>
      <c r="D80" s="4"/>
      <c r="E80" s="4"/>
      <c r="G80" s="13">
        <v>45858</v>
      </c>
      <c r="H80" s="10" t="s">
        <v>123</v>
      </c>
      <c r="I80" s="11">
        <f>35/11</f>
        <v>3.1818181818181817</v>
      </c>
      <c r="J80" s="12">
        <f>32000*11</f>
        <v>352000</v>
      </c>
      <c r="K80" s="9">
        <f t="shared" si="16"/>
        <v>1120000</v>
      </c>
      <c r="M80" s="2"/>
      <c r="N80" s="2"/>
      <c r="O80" s="2"/>
      <c r="P80" s="2"/>
      <c r="Q80" s="4"/>
    </row>
    <row r="81" spans="1:17" x14ac:dyDescent="0.25">
      <c r="A81" s="2"/>
      <c r="B81" s="2"/>
      <c r="C81" s="28"/>
      <c r="D81" s="4"/>
      <c r="E81" s="4"/>
      <c r="G81" s="13">
        <v>45858</v>
      </c>
      <c r="H81" s="10" t="s">
        <v>30</v>
      </c>
      <c r="I81" s="11">
        <f>30/12</f>
        <v>2.5</v>
      </c>
      <c r="J81" s="12">
        <f>29000*12</f>
        <v>348000</v>
      </c>
      <c r="K81" s="9">
        <f t="shared" si="16"/>
        <v>870000</v>
      </c>
      <c r="M81" s="2"/>
      <c r="N81" s="2"/>
      <c r="O81" s="2"/>
      <c r="P81" s="2"/>
      <c r="Q81" s="4"/>
    </row>
    <row r="82" spans="1:17" x14ac:dyDescent="0.25">
      <c r="A82" s="2"/>
      <c r="B82" s="2"/>
      <c r="C82" s="28"/>
      <c r="D82" s="4"/>
      <c r="E82" s="4"/>
      <c r="G82" s="13">
        <v>45858</v>
      </c>
      <c r="H82" s="10" t="s">
        <v>37</v>
      </c>
      <c r="I82" s="11">
        <f>55/6</f>
        <v>9.1666666666666661</v>
      </c>
      <c r="J82" s="12">
        <f>22000*6</f>
        <v>132000</v>
      </c>
      <c r="K82" s="9">
        <f t="shared" si="16"/>
        <v>1210000</v>
      </c>
      <c r="M82" s="2"/>
      <c r="N82" s="2"/>
      <c r="O82" s="2"/>
      <c r="P82" s="2"/>
      <c r="Q82" s="4"/>
    </row>
    <row r="83" spans="1:17" x14ac:dyDescent="0.25">
      <c r="A83" s="2"/>
      <c r="B83" s="2"/>
      <c r="C83" s="28"/>
      <c r="D83" s="4"/>
      <c r="E83" s="4">
        <f t="shared" si="13"/>
        <v>0</v>
      </c>
      <c r="G83" s="13">
        <v>45859</v>
      </c>
      <c r="H83" s="10" t="s">
        <v>60</v>
      </c>
      <c r="I83" s="11">
        <v>15</v>
      </c>
      <c r="J83" s="12">
        <v>88000</v>
      </c>
      <c r="K83" s="9">
        <f t="shared" si="16"/>
        <v>1320000</v>
      </c>
      <c r="M83" s="2"/>
      <c r="N83" s="2"/>
      <c r="O83" s="2"/>
      <c r="P83" s="2"/>
      <c r="Q83" s="4">
        <f t="shared" si="15"/>
        <v>0</v>
      </c>
    </row>
    <row r="84" spans="1:17" x14ac:dyDescent="0.25">
      <c r="A84" s="2"/>
      <c r="B84" s="2"/>
      <c r="C84" s="28"/>
      <c r="D84" s="4"/>
      <c r="E84" s="4">
        <f t="shared" si="13"/>
        <v>0</v>
      </c>
      <c r="G84" s="13">
        <v>45865</v>
      </c>
      <c r="H84" s="10" t="s">
        <v>70</v>
      </c>
      <c r="I84" s="11">
        <v>5</v>
      </c>
      <c r="J84" s="12">
        <v>200000</v>
      </c>
      <c r="K84" s="9">
        <f t="shared" si="16"/>
        <v>1000000</v>
      </c>
      <c r="M84" s="2"/>
      <c r="N84" s="2"/>
      <c r="O84" s="2"/>
      <c r="P84" s="2"/>
      <c r="Q84" s="4">
        <v>0</v>
      </c>
    </row>
    <row r="85" spans="1:17" x14ac:dyDescent="0.25">
      <c r="C85" s="31"/>
      <c r="D85" s="32"/>
      <c r="E85" s="32"/>
      <c r="G85" s="13">
        <v>45866</v>
      </c>
      <c r="H85" s="10" t="s">
        <v>108</v>
      </c>
      <c r="I85" s="11">
        <v>50</v>
      </c>
      <c r="J85" s="12">
        <v>90000</v>
      </c>
      <c r="K85" s="9">
        <f t="shared" si="16"/>
        <v>4500000</v>
      </c>
      <c r="Q85" s="32"/>
    </row>
    <row r="86" spans="1:17" x14ac:dyDescent="0.25">
      <c r="E86" s="6">
        <f>SUM(E64:E83)</f>
        <v>0</v>
      </c>
      <c r="I86" s="5"/>
      <c r="K86" s="5">
        <f>SUM(K64:K84)</f>
        <v>29353250</v>
      </c>
      <c r="Q86" s="6">
        <f>SUM(Q64:Q84)</f>
        <v>0</v>
      </c>
    </row>
    <row r="89" spans="1:17" ht="12" customHeight="1" x14ac:dyDescent="0.25">
      <c r="A89" s="33" t="s">
        <v>136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7" ht="12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x14ac:dyDescent="0.25">
      <c r="A91" s="40" t="s">
        <v>0</v>
      </c>
      <c r="B91" s="40" t="s">
        <v>9</v>
      </c>
      <c r="C91" s="42" t="s">
        <v>4</v>
      </c>
      <c r="D91" s="44" t="s">
        <v>2</v>
      </c>
      <c r="E91" s="40" t="s">
        <v>3</v>
      </c>
      <c r="G91" s="40" t="s">
        <v>0</v>
      </c>
      <c r="H91" s="40" t="s">
        <v>10</v>
      </c>
      <c r="I91" s="40" t="s">
        <v>4</v>
      </c>
      <c r="J91" s="44" t="s">
        <v>2</v>
      </c>
      <c r="K91" s="44" t="s">
        <v>3</v>
      </c>
      <c r="M91" s="40" t="s">
        <v>0</v>
      </c>
      <c r="N91" s="40" t="s">
        <v>11</v>
      </c>
      <c r="O91" s="40" t="s">
        <v>4</v>
      </c>
      <c r="P91" s="40" t="s">
        <v>2</v>
      </c>
      <c r="Q91" s="40" t="s">
        <v>3</v>
      </c>
    </row>
    <row r="92" spans="1:17" x14ac:dyDescent="0.25">
      <c r="A92" s="41"/>
      <c r="B92" s="41"/>
      <c r="C92" s="43"/>
      <c r="D92" s="45"/>
      <c r="E92" s="41"/>
      <c r="G92" s="41"/>
      <c r="H92" s="41"/>
      <c r="I92" s="41"/>
      <c r="J92" s="45"/>
      <c r="K92" s="45"/>
      <c r="M92" s="41"/>
      <c r="N92" s="41"/>
      <c r="O92" s="41"/>
      <c r="P92" s="41"/>
      <c r="Q92" s="41"/>
    </row>
    <row r="93" spans="1:17" x14ac:dyDescent="0.25">
      <c r="A93" s="13"/>
      <c r="B93" s="10"/>
      <c r="C93" s="11"/>
      <c r="D93" s="12"/>
      <c r="E93" s="4">
        <f t="shared" ref="E93:E113" si="17">C93*D93</f>
        <v>0</v>
      </c>
      <c r="G93" s="13">
        <v>45870</v>
      </c>
      <c r="H93" s="10" t="s">
        <v>64</v>
      </c>
      <c r="I93" s="11">
        <v>1</v>
      </c>
      <c r="J93" s="12">
        <v>26930000</v>
      </c>
      <c r="K93" s="9">
        <f t="shared" ref="K93:K100" si="18">I93*J93</f>
        <v>26930000</v>
      </c>
      <c r="M93" s="2"/>
      <c r="N93" s="2"/>
      <c r="O93" s="2"/>
      <c r="P93" s="2"/>
      <c r="Q93" s="4">
        <f t="shared" ref="Q93:Q112" si="19">O93*P93</f>
        <v>0</v>
      </c>
    </row>
    <row r="94" spans="1:17" x14ac:dyDescent="0.25">
      <c r="A94" s="13"/>
      <c r="B94" s="10"/>
      <c r="C94" s="11"/>
      <c r="D94" s="12"/>
      <c r="E94" s="4">
        <f t="shared" si="17"/>
        <v>0</v>
      </c>
      <c r="G94" s="13">
        <v>45878</v>
      </c>
      <c r="H94" s="10" t="s">
        <v>139</v>
      </c>
      <c r="I94" s="11">
        <v>15</v>
      </c>
      <c r="J94" s="12">
        <v>12000</v>
      </c>
      <c r="K94" s="9">
        <f t="shared" si="18"/>
        <v>180000</v>
      </c>
      <c r="M94" s="2"/>
      <c r="N94" s="2"/>
      <c r="O94" s="2"/>
      <c r="P94" s="2"/>
      <c r="Q94" s="4">
        <f t="shared" si="19"/>
        <v>0</v>
      </c>
    </row>
    <row r="95" spans="1:17" x14ac:dyDescent="0.25">
      <c r="A95" s="3"/>
      <c r="B95" s="10"/>
      <c r="C95" s="11"/>
      <c r="D95" s="12"/>
      <c r="E95" s="4">
        <f t="shared" si="17"/>
        <v>0</v>
      </c>
      <c r="G95" s="13">
        <v>45888</v>
      </c>
      <c r="H95" s="10" t="s">
        <v>140</v>
      </c>
      <c r="I95" s="11">
        <v>30</v>
      </c>
      <c r="J95" s="12">
        <v>120000</v>
      </c>
      <c r="K95" s="9">
        <f t="shared" si="18"/>
        <v>3600000</v>
      </c>
      <c r="M95" s="2"/>
      <c r="N95" s="2"/>
      <c r="O95" s="2"/>
      <c r="P95" s="2"/>
      <c r="Q95" s="4">
        <f t="shared" si="19"/>
        <v>0</v>
      </c>
    </row>
    <row r="96" spans="1:17" x14ac:dyDescent="0.25">
      <c r="A96" s="3"/>
      <c r="B96" s="10"/>
      <c r="C96" s="11"/>
      <c r="D96" s="12"/>
      <c r="E96" s="4">
        <f t="shared" si="17"/>
        <v>0</v>
      </c>
      <c r="G96" s="13">
        <v>45890</v>
      </c>
      <c r="H96" s="10" t="s">
        <v>141</v>
      </c>
      <c r="I96" s="11">
        <f>33/5.5</f>
        <v>6</v>
      </c>
      <c r="J96" s="12">
        <f>68000*5.5</f>
        <v>374000</v>
      </c>
      <c r="K96" s="9">
        <f t="shared" si="18"/>
        <v>2244000</v>
      </c>
      <c r="M96" s="2"/>
      <c r="N96" s="2"/>
      <c r="O96" s="2"/>
      <c r="P96" s="2"/>
      <c r="Q96" s="4">
        <f t="shared" si="19"/>
        <v>0</v>
      </c>
    </row>
    <row r="97" spans="1:17" x14ac:dyDescent="0.25">
      <c r="A97" s="3"/>
      <c r="B97" s="10"/>
      <c r="C97" s="11"/>
      <c r="D97" s="12"/>
      <c r="E97" s="4">
        <f t="shared" si="17"/>
        <v>0</v>
      </c>
      <c r="G97" s="13">
        <v>45890</v>
      </c>
      <c r="H97" s="10" t="s">
        <v>142</v>
      </c>
      <c r="I97" s="11">
        <v>5</v>
      </c>
      <c r="J97" s="12">
        <v>115000</v>
      </c>
      <c r="K97" s="9">
        <f t="shared" si="18"/>
        <v>575000</v>
      </c>
      <c r="M97" s="2"/>
      <c r="N97" s="2"/>
      <c r="O97" s="2"/>
      <c r="P97" s="2"/>
      <c r="Q97" s="4">
        <f t="shared" si="19"/>
        <v>0</v>
      </c>
    </row>
    <row r="98" spans="1:17" x14ac:dyDescent="0.25">
      <c r="A98" s="2"/>
      <c r="B98" s="2"/>
      <c r="C98" s="28"/>
      <c r="D98" s="4"/>
      <c r="E98" s="4">
        <f t="shared" si="17"/>
        <v>0</v>
      </c>
      <c r="G98" s="3">
        <v>45899</v>
      </c>
      <c r="H98" s="10" t="s">
        <v>143</v>
      </c>
      <c r="I98" s="11">
        <f>2/5.5</f>
        <v>0.36363636363636365</v>
      </c>
      <c r="J98" s="12">
        <f>70000*5.5</f>
        <v>385000</v>
      </c>
      <c r="K98" s="9">
        <f t="shared" si="18"/>
        <v>140000</v>
      </c>
      <c r="M98" s="2"/>
      <c r="N98" s="2"/>
      <c r="O98" s="2"/>
      <c r="P98" s="2"/>
      <c r="Q98" s="4">
        <f t="shared" si="19"/>
        <v>0</v>
      </c>
    </row>
    <row r="99" spans="1:17" x14ac:dyDescent="0.25">
      <c r="A99" s="2"/>
      <c r="B99" s="2"/>
      <c r="C99" s="28"/>
      <c r="D99" s="4"/>
      <c r="E99" s="4">
        <f t="shared" si="17"/>
        <v>0</v>
      </c>
      <c r="G99" s="3">
        <v>45899</v>
      </c>
      <c r="H99" s="10" t="s">
        <v>144</v>
      </c>
      <c r="I99" s="11">
        <f>17/11</f>
        <v>1.5454545454545454</v>
      </c>
      <c r="J99" s="12">
        <f>33000*11</f>
        <v>363000</v>
      </c>
      <c r="K99" s="9">
        <f t="shared" si="18"/>
        <v>561000</v>
      </c>
      <c r="M99" s="2"/>
      <c r="N99" s="2"/>
      <c r="O99" s="2"/>
      <c r="P99" s="2"/>
      <c r="Q99" s="4">
        <f t="shared" si="19"/>
        <v>0</v>
      </c>
    </row>
    <row r="100" spans="1:17" x14ac:dyDescent="0.25">
      <c r="A100" s="2"/>
      <c r="B100" s="2"/>
      <c r="C100" s="28"/>
      <c r="D100" s="4"/>
      <c r="E100" s="4">
        <f t="shared" si="17"/>
        <v>0</v>
      </c>
      <c r="G100" s="3">
        <v>45914</v>
      </c>
      <c r="H100" s="10" t="s">
        <v>145</v>
      </c>
      <c r="I100" s="11">
        <v>6.5</v>
      </c>
      <c r="J100" s="12">
        <v>360000</v>
      </c>
      <c r="K100" s="9">
        <f t="shared" si="18"/>
        <v>2340000</v>
      </c>
      <c r="M100" s="2"/>
      <c r="N100" s="2"/>
      <c r="O100" s="2"/>
      <c r="P100" s="2"/>
      <c r="Q100" s="4">
        <f t="shared" si="19"/>
        <v>0</v>
      </c>
    </row>
    <row r="101" spans="1:17" x14ac:dyDescent="0.25">
      <c r="A101" s="2"/>
      <c r="B101" s="2"/>
      <c r="C101" s="28"/>
      <c r="D101" s="4"/>
      <c r="E101" s="4">
        <f t="shared" si="17"/>
        <v>0</v>
      </c>
      <c r="G101" s="3">
        <v>45921</v>
      </c>
      <c r="H101" s="10" t="s">
        <v>146</v>
      </c>
      <c r="I101" s="11">
        <v>40</v>
      </c>
      <c r="J101" s="12">
        <v>170000</v>
      </c>
      <c r="K101" s="9">
        <f>I101*J101</f>
        <v>6800000</v>
      </c>
      <c r="M101" s="2"/>
      <c r="N101" s="2"/>
      <c r="O101" s="2"/>
      <c r="P101" s="2"/>
      <c r="Q101" s="4">
        <f t="shared" si="19"/>
        <v>0</v>
      </c>
    </row>
    <row r="102" spans="1:17" x14ac:dyDescent="0.25">
      <c r="A102" s="2"/>
      <c r="B102" s="2"/>
      <c r="C102" s="28"/>
      <c r="D102" s="4"/>
      <c r="E102" s="4">
        <f t="shared" si="17"/>
        <v>0</v>
      </c>
      <c r="G102" s="3">
        <v>45934</v>
      </c>
      <c r="H102" s="10" t="s">
        <v>147</v>
      </c>
      <c r="I102" s="11">
        <v>4</v>
      </c>
      <c r="J102" s="12">
        <v>360000</v>
      </c>
      <c r="K102" s="9">
        <f>I102*J102</f>
        <v>1440000</v>
      </c>
      <c r="M102" s="2"/>
      <c r="N102" s="2"/>
      <c r="O102" s="2"/>
      <c r="P102" s="2"/>
      <c r="Q102" s="4">
        <v>0</v>
      </c>
    </row>
    <row r="103" spans="1:17" x14ac:dyDescent="0.25">
      <c r="A103" s="2"/>
      <c r="B103" s="2"/>
      <c r="C103" s="28"/>
      <c r="D103" s="4"/>
      <c r="E103" s="4"/>
      <c r="G103" s="3">
        <v>45935</v>
      </c>
      <c r="H103" s="10" t="s">
        <v>148</v>
      </c>
      <c r="I103" s="11">
        <v>8</v>
      </c>
      <c r="J103" s="12">
        <v>125000</v>
      </c>
      <c r="K103" s="9">
        <f t="shared" ref="K103:K119" si="20">I103*J103</f>
        <v>1000000</v>
      </c>
      <c r="M103" s="2"/>
      <c r="N103" s="2"/>
      <c r="O103" s="2"/>
      <c r="P103" s="2"/>
      <c r="Q103" s="4"/>
    </row>
    <row r="104" spans="1:17" x14ac:dyDescent="0.25">
      <c r="A104" s="2"/>
      <c r="B104" s="2"/>
      <c r="C104" s="28"/>
      <c r="D104" s="4"/>
      <c r="E104" s="4"/>
      <c r="G104" s="3"/>
      <c r="H104" s="10"/>
      <c r="I104" s="11"/>
      <c r="J104" s="12"/>
      <c r="K104" s="9">
        <f t="shared" si="20"/>
        <v>0</v>
      </c>
      <c r="M104" s="2"/>
      <c r="N104" s="2"/>
      <c r="O104" s="2"/>
      <c r="P104" s="2"/>
      <c r="Q104" s="4"/>
    </row>
    <row r="105" spans="1:17" x14ac:dyDescent="0.25">
      <c r="A105" s="2"/>
      <c r="B105" s="2"/>
      <c r="C105" s="28"/>
      <c r="D105" s="4"/>
      <c r="E105" s="4"/>
      <c r="G105" s="13"/>
      <c r="H105" s="10"/>
      <c r="I105" s="11"/>
      <c r="J105" s="12"/>
      <c r="K105" s="9">
        <f t="shared" si="20"/>
        <v>0</v>
      </c>
      <c r="M105" s="2"/>
      <c r="N105" s="2"/>
      <c r="O105" s="2"/>
      <c r="P105" s="2"/>
      <c r="Q105" s="4"/>
    </row>
    <row r="106" spans="1:17" x14ac:dyDescent="0.25">
      <c r="A106" s="2"/>
      <c r="B106" s="2"/>
      <c r="C106" s="28"/>
      <c r="D106" s="4"/>
      <c r="E106" s="4"/>
      <c r="G106" s="13"/>
      <c r="H106" s="10"/>
      <c r="I106" s="11"/>
      <c r="J106" s="12"/>
      <c r="K106" s="9">
        <f t="shared" si="20"/>
        <v>0</v>
      </c>
      <c r="M106" s="2"/>
      <c r="N106" s="2"/>
      <c r="O106" s="2"/>
      <c r="P106" s="2"/>
      <c r="Q106" s="4"/>
    </row>
    <row r="107" spans="1:17" x14ac:dyDescent="0.25">
      <c r="A107" s="2"/>
      <c r="B107" s="2"/>
      <c r="C107" s="28"/>
      <c r="D107" s="4"/>
      <c r="E107" s="4"/>
      <c r="G107" s="13"/>
      <c r="H107" s="10"/>
      <c r="I107" s="11"/>
      <c r="J107" s="12"/>
      <c r="K107" s="9">
        <f t="shared" si="20"/>
        <v>0</v>
      </c>
      <c r="M107" s="2"/>
      <c r="N107" s="2"/>
      <c r="O107" s="2"/>
      <c r="P107" s="2"/>
      <c r="Q107" s="4"/>
    </row>
    <row r="108" spans="1:17" x14ac:dyDescent="0.25">
      <c r="A108" s="2"/>
      <c r="B108" s="2"/>
      <c r="C108" s="28"/>
      <c r="D108" s="4"/>
      <c r="E108" s="4"/>
      <c r="G108" s="13"/>
      <c r="H108" s="10"/>
      <c r="I108" s="11"/>
      <c r="J108" s="12"/>
      <c r="K108" s="9">
        <f t="shared" si="20"/>
        <v>0</v>
      </c>
      <c r="M108" s="2"/>
      <c r="N108" s="2"/>
      <c r="O108" s="2"/>
      <c r="P108" s="2"/>
      <c r="Q108" s="4"/>
    </row>
    <row r="109" spans="1:17" x14ac:dyDescent="0.25">
      <c r="A109" s="2"/>
      <c r="B109" s="2"/>
      <c r="C109" s="28"/>
      <c r="D109" s="4"/>
      <c r="E109" s="4"/>
      <c r="G109" s="13"/>
      <c r="H109" s="10"/>
      <c r="I109" s="11"/>
      <c r="J109" s="12"/>
      <c r="K109" s="9">
        <f t="shared" si="20"/>
        <v>0</v>
      </c>
      <c r="M109" s="2"/>
      <c r="N109" s="2"/>
      <c r="O109" s="2"/>
      <c r="P109" s="2"/>
      <c r="Q109" s="4"/>
    </row>
    <row r="110" spans="1:17" x14ac:dyDescent="0.25">
      <c r="A110" s="2"/>
      <c r="B110" s="2"/>
      <c r="C110" s="28"/>
      <c r="D110" s="4"/>
      <c r="E110" s="4"/>
      <c r="G110" s="13"/>
      <c r="H110" s="10"/>
      <c r="I110" s="11"/>
      <c r="J110" s="12"/>
      <c r="K110" s="9">
        <f t="shared" si="20"/>
        <v>0</v>
      </c>
      <c r="M110" s="2"/>
      <c r="N110" s="2"/>
      <c r="O110" s="2"/>
      <c r="P110" s="2"/>
      <c r="Q110" s="4"/>
    </row>
    <row r="111" spans="1:17" x14ac:dyDescent="0.25">
      <c r="A111" s="2"/>
      <c r="B111" s="2"/>
      <c r="C111" s="28"/>
      <c r="D111" s="4"/>
      <c r="E111" s="4"/>
      <c r="G111" s="13"/>
      <c r="H111" s="10"/>
      <c r="I111" s="11"/>
      <c r="J111" s="12"/>
      <c r="K111" s="9">
        <f t="shared" si="20"/>
        <v>0</v>
      </c>
      <c r="M111" s="2"/>
      <c r="N111" s="2"/>
      <c r="O111" s="2"/>
      <c r="P111" s="2"/>
      <c r="Q111" s="4"/>
    </row>
    <row r="112" spans="1:17" x14ac:dyDescent="0.25">
      <c r="A112" s="2"/>
      <c r="B112" s="2"/>
      <c r="C112" s="28"/>
      <c r="D112" s="4"/>
      <c r="E112" s="4">
        <f t="shared" si="17"/>
        <v>0</v>
      </c>
      <c r="G112" s="13"/>
      <c r="H112" s="10"/>
      <c r="I112" s="11"/>
      <c r="J112" s="12"/>
      <c r="K112" s="9">
        <f t="shared" si="20"/>
        <v>0</v>
      </c>
      <c r="M112" s="2"/>
      <c r="N112" s="2"/>
      <c r="O112" s="2"/>
      <c r="P112" s="2"/>
      <c r="Q112" s="4">
        <f t="shared" si="19"/>
        <v>0</v>
      </c>
    </row>
    <row r="113" spans="1:17" x14ac:dyDescent="0.25">
      <c r="A113" s="2"/>
      <c r="B113" s="2"/>
      <c r="C113" s="28"/>
      <c r="D113" s="4"/>
      <c r="E113" s="4">
        <f t="shared" si="17"/>
        <v>0</v>
      </c>
      <c r="G113" s="13"/>
      <c r="H113" s="10"/>
      <c r="I113" s="11"/>
      <c r="J113" s="12"/>
      <c r="K113" s="9">
        <f t="shared" si="20"/>
        <v>0</v>
      </c>
      <c r="M113" s="2"/>
      <c r="N113" s="2"/>
      <c r="O113" s="2"/>
      <c r="P113" s="2"/>
      <c r="Q113" s="4">
        <v>0</v>
      </c>
    </row>
    <row r="114" spans="1:17" x14ac:dyDescent="0.25">
      <c r="C114" s="31"/>
      <c r="D114" s="32"/>
      <c r="E114" s="32"/>
      <c r="G114" s="13"/>
      <c r="H114" s="10"/>
      <c r="I114" s="11"/>
      <c r="J114" s="12"/>
      <c r="K114" s="9">
        <f t="shared" si="20"/>
        <v>0</v>
      </c>
      <c r="Q114" s="32"/>
    </row>
    <row r="115" spans="1:17" x14ac:dyDescent="0.25">
      <c r="C115" s="31"/>
      <c r="D115" s="32"/>
      <c r="E115" s="32"/>
      <c r="G115" s="13"/>
      <c r="H115" s="10"/>
      <c r="I115" s="11"/>
      <c r="J115" s="12"/>
      <c r="K115" s="9">
        <f t="shared" si="20"/>
        <v>0</v>
      </c>
      <c r="Q115" s="32"/>
    </row>
    <row r="116" spans="1:17" x14ac:dyDescent="0.25">
      <c r="C116" s="31"/>
      <c r="D116" s="32"/>
      <c r="E116" s="32"/>
      <c r="G116" s="13"/>
      <c r="H116" s="10"/>
      <c r="I116" s="11"/>
      <c r="J116" s="12"/>
      <c r="K116" s="9">
        <f t="shared" si="20"/>
        <v>0</v>
      </c>
      <c r="Q116" s="32"/>
    </row>
    <row r="117" spans="1:17" x14ac:dyDescent="0.25">
      <c r="C117" s="31"/>
      <c r="D117" s="32"/>
      <c r="E117" s="32"/>
      <c r="G117" s="13"/>
      <c r="H117" s="10"/>
      <c r="I117" s="11"/>
      <c r="J117" s="12"/>
      <c r="K117" s="9">
        <f t="shared" si="20"/>
        <v>0</v>
      </c>
      <c r="Q117" s="32"/>
    </row>
    <row r="118" spans="1:17" x14ac:dyDescent="0.25">
      <c r="C118" s="31"/>
      <c r="D118" s="32"/>
      <c r="E118" s="32"/>
      <c r="G118" s="13"/>
      <c r="H118" s="10"/>
      <c r="I118" s="11"/>
      <c r="J118" s="12"/>
      <c r="K118" s="9">
        <f t="shared" si="20"/>
        <v>0</v>
      </c>
      <c r="Q118" s="32"/>
    </row>
    <row r="119" spans="1:17" x14ac:dyDescent="0.25">
      <c r="C119" s="31"/>
      <c r="D119" s="32"/>
      <c r="E119" s="32"/>
      <c r="G119" s="13"/>
      <c r="H119" s="10"/>
      <c r="I119" s="11"/>
      <c r="J119" s="12"/>
      <c r="K119" s="9">
        <f t="shared" si="20"/>
        <v>0</v>
      </c>
      <c r="Q119" s="32"/>
    </row>
    <row r="120" spans="1:17" x14ac:dyDescent="0.25">
      <c r="E120" s="6">
        <f>SUM(E93:E112)</f>
        <v>0</v>
      </c>
      <c r="I120" s="5"/>
      <c r="K120" s="5">
        <f>SUM(K93:K113)</f>
        <v>45810000</v>
      </c>
      <c r="Q120" s="6">
        <f>SUM(Q93:Q113)</f>
        <v>0</v>
      </c>
    </row>
  </sheetData>
  <mergeCells count="96">
    <mergeCell ref="A89:Q90"/>
    <mergeCell ref="A91:A92"/>
    <mergeCell ref="B91:B92"/>
    <mergeCell ref="C91:C92"/>
    <mergeCell ref="D91:D92"/>
    <mergeCell ref="E91:E92"/>
    <mergeCell ref="G91:G92"/>
    <mergeCell ref="H91:H92"/>
    <mergeCell ref="I91:I92"/>
    <mergeCell ref="J91:J92"/>
    <mergeCell ref="K91:K92"/>
    <mergeCell ref="M91:M92"/>
    <mergeCell ref="N91:N92"/>
    <mergeCell ref="O91:O92"/>
    <mergeCell ref="P91:P92"/>
    <mergeCell ref="Q91:Q92"/>
    <mergeCell ref="A11:Q12"/>
    <mergeCell ref="A13:A14"/>
    <mergeCell ref="B13:B14"/>
    <mergeCell ref="C13:C14"/>
    <mergeCell ref="D13:D14"/>
    <mergeCell ref="E13:E14"/>
    <mergeCell ref="G13:G14"/>
    <mergeCell ref="H13:H14"/>
    <mergeCell ref="I13:I14"/>
    <mergeCell ref="J13:J14"/>
    <mergeCell ref="K13:K14"/>
    <mergeCell ref="M13:M14"/>
    <mergeCell ref="N13:N14"/>
    <mergeCell ref="O13:O14"/>
    <mergeCell ref="P13:P14"/>
    <mergeCell ref="Q13:Q14"/>
    <mergeCell ref="A1:Q2"/>
    <mergeCell ref="M3:M4"/>
    <mergeCell ref="N3:N4"/>
    <mergeCell ref="O3:O4"/>
    <mergeCell ref="P3:P4"/>
    <mergeCell ref="Q3:Q4"/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A22:Q23"/>
    <mergeCell ref="A24:A25"/>
    <mergeCell ref="B24:B25"/>
    <mergeCell ref="C24:C25"/>
    <mergeCell ref="D24:D25"/>
    <mergeCell ref="E24:E25"/>
    <mergeCell ref="G24:G25"/>
    <mergeCell ref="H24:H25"/>
    <mergeCell ref="I24:I25"/>
    <mergeCell ref="J24:J25"/>
    <mergeCell ref="K24:K25"/>
    <mergeCell ref="M24:M25"/>
    <mergeCell ref="N24:N25"/>
    <mergeCell ref="O24:O25"/>
    <mergeCell ref="P24:P25"/>
    <mergeCell ref="Q24:Q25"/>
    <mergeCell ref="A39:Q40"/>
    <mergeCell ref="A41:A42"/>
    <mergeCell ref="B41:B42"/>
    <mergeCell ref="C41:C42"/>
    <mergeCell ref="D41:D42"/>
    <mergeCell ref="E41:E42"/>
    <mergeCell ref="G41:G42"/>
    <mergeCell ref="H41:H42"/>
    <mergeCell ref="I41:I42"/>
    <mergeCell ref="J41:J42"/>
    <mergeCell ref="K41:K42"/>
    <mergeCell ref="M41:M42"/>
    <mergeCell ref="N41:N42"/>
    <mergeCell ref="O41:O42"/>
    <mergeCell ref="P41:P42"/>
    <mergeCell ref="Q41:Q42"/>
    <mergeCell ref="A60:Q61"/>
    <mergeCell ref="A62:A63"/>
    <mergeCell ref="B62:B63"/>
    <mergeCell ref="C62:C63"/>
    <mergeCell ref="D62:D63"/>
    <mergeCell ref="E62:E63"/>
    <mergeCell ref="G62:G63"/>
    <mergeCell ref="H62:H63"/>
    <mergeCell ref="I62:I63"/>
    <mergeCell ref="J62:J63"/>
    <mergeCell ref="K62:K63"/>
    <mergeCell ref="M62:M63"/>
    <mergeCell ref="N62:N63"/>
    <mergeCell ref="O62:O63"/>
    <mergeCell ref="P62:P63"/>
    <mergeCell ref="Q62:Q6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tabSelected="1" workbookViewId="0">
      <selection activeCell="A11" sqref="A11"/>
    </sheetView>
  </sheetViews>
  <sheetFormatPr defaultColWidth="8.88671875" defaultRowHeight="12" x14ac:dyDescent="0.25"/>
  <cols>
    <col min="1" max="1" width="9.33203125" style="1" bestFit="1" customWidth="1"/>
    <col min="2" max="2" width="19.5546875" style="1" bestFit="1" customWidth="1"/>
    <col min="3" max="4" width="8.88671875" style="1"/>
    <col min="5" max="5" width="9.88671875" style="1" bestFit="1" customWidth="1"/>
    <col min="6" max="6" width="2.88671875" style="1" customWidth="1"/>
    <col min="7" max="7" width="9.33203125" style="1" bestFit="1" customWidth="1"/>
    <col min="8" max="8" width="25.88671875" style="1" bestFit="1" customWidth="1"/>
    <col min="9" max="9" width="9.88671875" style="1" bestFit="1" customWidth="1"/>
    <col min="10" max="10" width="8.88671875" style="5"/>
    <col min="11" max="11" width="9.88671875" style="5" bestFit="1" customWidth="1"/>
    <col min="12" max="12" width="2.5546875" style="1" customWidth="1"/>
    <col min="13" max="13" width="9.33203125" style="1" bestFit="1" customWidth="1"/>
    <col min="14" max="14" width="17" style="1" bestFit="1" customWidth="1"/>
    <col min="15" max="15" width="8.88671875" style="1"/>
    <col min="16" max="17" width="8.88671875" style="5"/>
    <col min="18" max="16384" width="8.88671875" style="1"/>
  </cols>
  <sheetData>
    <row r="1" spans="1:17" ht="12" customHeight="1" x14ac:dyDescent="0.25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40" t="s">
        <v>0</v>
      </c>
      <c r="B3" s="40" t="s">
        <v>8</v>
      </c>
      <c r="C3" s="40" t="s">
        <v>4</v>
      </c>
      <c r="D3" s="44" t="s">
        <v>2</v>
      </c>
      <c r="E3" s="44" t="s">
        <v>3</v>
      </c>
      <c r="G3" s="40" t="s">
        <v>0</v>
      </c>
      <c r="H3" s="40" t="s">
        <v>7</v>
      </c>
      <c r="I3" s="40" t="s">
        <v>4</v>
      </c>
      <c r="J3" s="44" t="s">
        <v>2</v>
      </c>
      <c r="K3" s="44" t="s">
        <v>3</v>
      </c>
      <c r="M3" s="40" t="s">
        <v>0</v>
      </c>
      <c r="N3" s="40" t="s">
        <v>6</v>
      </c>
      <c r="O3" s="40" t="s">
        <v>4</v>
      </c>
      <c r="P3" s="44" t="s">
        <v>2</v>
      </c>
      <c r="Q3" s="44" t="s">
        <v>3</v>
      </c>
    </row>
    <row r="4" spans="1:17" x14ac:dyDescent="0.25">
      <c r="A4" s="41"/>
      <c r="B4" s="41"/>
      <c r="C4" s="41"/>
      <c r="D4" s="45"/>
      <c r="E4" s="45"/>
      <c r="G4" s="41"/>
      <c r="H4" s="41"/>
      <c r="I4" s="41"/>
      <c r="J4" s="45"/>
      <c r="K4" s="45"/>
      <c r="M4" s="41"/>
      <c r="N4" s="41"/>
      <c r="O4" s="41"/>
      <c r="P4" s="45"/>
      <c r="Q4" s="45"/>
    </row>
    <row r="5" spans="1:17" x14ac:dyDescent="0.25">
      <c r="A5" s="13"/>
      <c r="B5" s="10"/>
      <c r="C5" s="11"/>
      <c r="D5" s="12"/>
      <c r="E5" s="4">
        <f t="shared" ref="E5:E7" si="0">C5*D5</f>
        <v>0</v>
      </c>
      <c r="G5" s="13">
        <v>45701</v>
      </c>
      <c r="H5" s="10" t="s">
        <v>36</v>
      </c>
      <c r="I5" s="11">
        <v>20</v>
      </c>
      <c r="J5" s="4">
        <v>95000</v>
      </c>
      <c r="K5" s="4">
        <f>I5*J5</f>
        <v>1900000</v>
      </c>
      <c r="M5" s="2"/>
      <c r="N5" s="2"/>
      <c r="O5" s="2"/>
      <c r="P5" s="4"/>
      <c r="Q5" s="4">
        <f>O5*P5</f>
        <v>0</v>
      </c>
    </row>
    <row r="6" spans="1:17" x14ac:dyDescent="0.25">
      <c r="A6" s="13"/>
      <c r="B6" s="10"/>
      <c r="C6" s="11"/>
      <c r="D6" s="12"/>
      <c r="E6" s="4">
        <f t="shared" si="0"/>
        <v>0</v>
      </c>
      <c r="G6" s="13"/>
      <c r="H6" s="10"/>
      <c r="I6" s="11"/>
      <c r="J6" s="12"/>
      <c r="K6" s="4">
        <f>I6*J6</f>
        <v>0</v>
      </c>
      <c r="M6" s="2"/>
      <c r="N6" s="2"/>
      <c r="O6" s="2"/>
      <c r="P6" s="4"/>
      <c r="Q6" s="4">
        <f>O6*P6</f>
        <v>0</v>
      </c>
    </row>
    <row r="7" spans="1:17" x14ac:dyDescent="0.25">
      <c r="A7" s="3"/>
      <c r="B7" s="10"/>
      <c r="C7" s="11"/>
      <c r="D7" s="12"/>
      <c r="E7" s="4">
        <f t="shared" si="0"/>
        <v>0</v>
      </c>
      <c r="G7" s="13"/>
      <c r="H7" s="10"/>
      <c r="I7" s="11"/>
      <c r="J7" s="12"/>
      <c r="K7" s="4">
        <f>I7*J7</f>
        <v>0</v>
      </c>
      <c r="M7" s="2"/>
      <c r="N7" s="2"/>
      <c r="O7" s="2"/>
      <c r="P7" s="4"/>
      <c r="Q7" s="4">
        <f>O7*P7</f>
        <v>0</v>
      </c>
    </row>
    <row r="8" spans="1:17" x14ac:dyDescent="0.25">
      <c r="D8" s="5"/>
      <c r="E8" s="5">
        <f>SUM(E5:E7)</f>
        <v>0</v>
      </c>
      <c r="I8" s="5"/>
      <c r="K8" s="5">
        <f>SUM(K5:K7)</f>
        <v>1900000</v>
      </c>
      <c r="Q8" s="5">
        <f>SUM(Q5:Q7)</f>
        <v>0</v>
      </c>
    </row>
    <row r="9" spans="1:17" x14ac:dyDescent="0.25">
      <c r="A9" s="15"/>
      <c r="E9" s="5"/>
    </row>
  </sheetData>
  <mergeCells count="16">
    <mergeCell ref="A1:Q2"/>
    <mergeCell ref="K3:K4"/>
    <mergeCell ref="A3:A4"/>
    <mergeCell ref="B3:B4"/>
    <mergeCell ref="C3:C4"/>
    <mergeCell ref="D3:D4"/>
    <mergeCell ref="E3:E4"/>
    <mergeCell ref="M3:M4"/>
    <mergeCell ref="N3:N4"/>
    <mergeCell ref="O3:O4"/>
    <mergeCell ref="P3:P4"/>
    <mergeCell ref="Q3:Q4"/>
    <mergeCell ref="G3:G4"/>
    <mergeCell ref="H3:H4"/>
    <mergeCell ref="I3:I4"/>
    <mergeCell ref="J3:J4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80DB-A43E-4515-A261-6247289344CC}">
  <dimension ref="A1:R20"/>
  <sheetViews>
    <sheetView topLeftCell="A3" workbookViewId="0">
      <selection activeCell="E30" sqref="E30"/>
    </sheetView>
  </sheetViews>
  <sheetFormatPr defaultRowHeight="14.4" x14ac:dyDescent="0.3"/>
  <cols>
    <col min="2" max="2" width="10.33203125" bestFit="1" customWidth="1"/>
    <col min="7" max="7" width="8.33203125" bestFit="1" customWidth="1"/>
    <col min="8" max="8" width="17.21875" bestFit="1" customWidth="1"/>
    <col min="14" max="14" width="14.5546875" bestFit="1" customWidth="1"/>
  </cols>
  <sheetData>
    <row r="1" spans="1:18" ht="14.4" customHeight="1" x14ac:dyDescent="0.3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"/>
    </row>
    <row r="2" spans="1:18" ht="14.4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1"/>
    </row>
    <row r="3" spans="1:18" x14ac:dyDescent="0.3">
      <c r="A3" s="40" t="s">
        <v>0</v>
      </c>
      <c r="B3" s="40" t="s">
        <v>22</v>
      </c>
      <c r="C3" s="42" t="s">
        <v>4</v>
      </c>
      <c r="D3" s="44" t="s">
        <v>2</v>
      </c>
      <c r="E3" s="40" t="s">
        <v>3</v>
      </c>
      <c r="F3" s="1"/>
      <c r="G3" s="40" t="s">
        <v>0</v>
      </c>
      <c r="H3" s="40" t="s">
        <v>23</v>
      </c>
      <c r="I3" s="40" t="s">
        <v>4</v>
      </c>
      <c r="J3" s="44" t="s">
        <v>2</v>
      </c>
      <c r="K3" s="44" t="s">
        <v>3</v>
      </c>
      <c r="L3" s="1"/>
      <c r="M3" s="40" t="s">
        <v>0</v>
      </c>
      <c r="N3" s="40" t="s">
        <v>11</v>
      </c>
      <c r="O3" s="40" t="s">
        <v>4</v>
      </c>
      <c r="P3" s="40" t="s">
        <v>2</v>
      </c>
      <c r="Q3" s="40" t="s">
        <v>3</v>
      </c>
      <c r="R3" s="1"/>
    </row>
    <row r="4" spans="1:18" x14ac:dyDescent="0.3">
      <c r="A4" s="41"/>
      <c r="B4" s="41"/>
      <c r="C4" s="43"/>
      <c r="D4" s="45"/>
      <c r="E4" s="41"/>
      <c r="F4" s="1"/>
      <c r="G4" s="41"/>
      <c r="H4" s="41"/>
      <c r="I4" s="41"/>
      <c r="J4" s="45"/>
      <c r="K4" s="45"/>
      <c r="L4" s="1"/>
      <c r="M4" s="41"/>
      <c r="N4" s="41"/>
      <c r="O4" s="41"/>
      <c r="P4" s="41"/>
      <c r="Q4" s="41"/>
      <c r="R4" s="1"/>
    </row>
    <row r="5" spans="1:18" x14ac:dyDescent="0.3">
      <c r="A5" s="13"/>
      <c r="B5" s="10"/>
      <c r="C5" s="11"/>
      <c r="D5" s="12"/>
      <c r="E5" s="4">
        <f t="shared" ref="E5:E6" si="0">C5*D5</f>
        <v>0</v>
      </c>
      <c r="F5" s="1"/>
      <c r="G5" s="13">
        <v>45694</v>
      </c>
      <c r="H5" s="10" t="s">
        <v>27</v>
      </c>
      <c r="I5" s="11">
        <v>6</v>
      </c>
      <c r="J5" s="12">
        <v>250000</v>
      </c>
      <c r="K5" s="9">
        <f t="shared" ref="K5:K6" si="1">I5*J5</f>
        <v>1500000</v>
      </c>
      <c r="L5" s="1"/>
      <c r="M5" s="2"/>
      <c r="N5" s="2"/>
      <c r="O5" s="2"/>
      <c r="P5" s="2"/>
      <c r="Q5" s="4">
        <f t="shared" ref="Q5:Q6" si="2">O5*P5</f>
        <v>0</v>
      </c>
      <c r="R5" s="1"/>
    </row>
    <row r="6" spans="1:18" x14ac:dyDescent="0.3">
      <c r="A6" s="13"/>
      <c r="B6" s="10"/>
      <c r="C6" s="11"/>
      <c r="D6" s="12"/>
      <c r="E6" s="4">
        <f t="shared" si="0"/>
        <v>0</v>
      </c>
      <c r="F6" s="1"/>
      <c r="G6" s="13"/>
      <c r="H6" s="10"/>
      <c r="I6" s="11"/>
      <c r="J6" s="12"/>
      <c r="K6" s="9">
        <f t="shared" si="1"/>
        <v>0</v>
      </c>
      <c r="L6" s="1"/>
      <c r="M6" s="2"/>
      <c r="N6" s="2"/>
      <c r="O6" s="2"/>
      <c r="P6" s="2"/>
      <c r="Q6" s="4">
        <f t="shared" si="2"/>
        <v>0</v>
      </c>
      <c r="R6" s="1"/>
    </row>
    <row r="7" spans="1:18" x14ac:dyDescent="0.3">
      <c r="A7" s="1"/>
      <c r="B7" s="1"/>
      <c r="C7" s="14"/>
      <c r="D7" s="5"/>
      <c r="E7" s="6">
        <f>SUM(E5:E6)</f>
        <v>0</v>
      </c>
      <c r="F7" s="1"/>
      <c r="G7" s="1"/>
      <c r="H7" s="1"/>
      <c r="I7" s="5"/>
      <c r="J7" s="5"/>
      <c r="K7" s="5">
        <f>SUM(K5:K6)</f>
        <v>1500000</v>
      </c>
      <c r="L7" s="1"/>
      <c r="M7" s="1"/>
      <c r="N7" s="1"/>
      <c r="O7" s="1"/>
      <c r="P7" s="1"/>
      <c r="Q7" s="6">
        <f>SUM(Q5:Q6)</f>
        <v>0</v>
      </c>
      <c r="R7" s="1"/>
    </row>
    <row r="8" spans="1:18" x14ac:dyDescent="0.3">
      <c r="A8" s="1"/>
      <c r="B8" s="1"/>
      <c r="C8" s="14"/>
      <c r="D8" s="5"/>
      <c r="E8" s="1"/>
      <c r="F8" s="1"/>
      <c r="G8" s="1"/>
      <c r="H8" s="1"/>
      <c r="I8" s="1"/>
      <c r="J8" s="5"/>
      <c r="K8" s="5"/>
      <c r="L8" s="1"/>
      <c r="M8" s="1"/>
      <c r="N8" s="1"/>
      <c r="O8" s="1"/>
      <c r="P8" s="1"/>
      <c r="Q8" s="1"/>
      <c r="R8" s="1"/>
    </row>
    <row r="9" spans="1:18" x14ac:dyDescent="0.3">
      <c r="A9" s="33" t="s">
        <v>115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1"/>
    </row>
    <row r="10" spans="1:18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1"/>
    </row>
    <row r="11" spans="1:18" x14ac:dyDescent="0.3">
      <c r="A11" s="40" t="s">
        <v>0</v>
      </c>
      <c r="B11" s="40" t="s">
        <v>22</v>
      </c>
      <c r="C11" s="42" t="s">
        <v>4</v>
      </c>
      <c r="D11" s="44" t="s">
        <v>2</v>
      </c>
      <c r="E11" s="40" t="s">
        <v>3</v>
      </c>
      <c r="F11" s="1"/>
      <c r="G11" s="40" t="s">
        <v>0</v>
      </c>
      <c r="H11" s="40" t="s">
        <v>23</v>
      </c>
      <c r="I11" s="40" t="s">
        <v>4</v>
      </c>
      <c r="J11" s="44" t="s">
        <v>2</v>
      </c>
      <c r="K11" s="44" t="s">
        <v>3</v>
      </c>
      <c r="L11" s="1"/>
      <c r="M11" s="40" t="s">
        <v>0</v>
      </c>
      <c r="N11" s="40" t="s">
        <v>11</v>
      </c>
      <c r="O11" s="40" t="s">
        <v>4</v>
      </c>
      <c r="P11" s="40" t="s">
        <v>2</v>
      </c>
      <c r="Q11" s="40" t="s">
        <v>3</v>
      </c>
    </row>
    <row r="12" spans="1:18" x14ac:dyDescent="0.3">
      <c r="A12" s="41"/>
      <c r="B12" s="41"/>
      <c r="C12" s="43"/>
      <c r="D12" s="45"/>
      <c r="E12" s="41"/>
      <c r="F12" s="1"/>
      <c r="G12" s="41"/>
      <c r="H12" s="41"/>
      <c r="I12" s="41"/>
      <c r="J12" s="45"/>
      <c r="K12" s="45"/>
      <c r="L12" s="1"/>
      <c r="M12" s="41"/>
      <c r="N12" s="41"/>
      <c r="O12" s="41"/>
      <c r="P12" s="41"/>
      <c r="Q12" s="41"/>
    </row>
    <row r="13" spans="1:18" x14ac:dyDescent="0.3">
      <c r="A13" s="13"/>
      <c r="B13" s="10"/>
      <c r="C13" s="11"/>
      <c r="D13" s="12"/>
      <c r="E13" s="4">
        <f t="shared" ref="E13:E19" si="3">C13*D13</f>
        <v>0</v>
      </c>
      <c r="F13" s="1"/>
      <c r="G13" s="13">
        <v>45818</v>
      </c>
      <c r="H13" s="10" t="s">
        <v>124</v>
      </c>
      <c r="I13" s="11">
        <v>46</v>
      </c>
      <c r="J13" s="12">
        <v>105000</v>
      </c>
      <c r="K13" s="9">
        <f t="shared" ref="K13:K19" si="4">I13*J13</f>
        <v>4830000</v>
      </c>
      <c r="L13" s="1"/>
      <c r="M13" s="2"/>
      <c r="N13" s="2"/>
      <c r="O13" s="2"/>
      <c r="P13" s="2"/>
      <c r="Q13" s="4">
        <f t="shared" ref="Q13:Q19" si="5">O13*P13</f>
        <v>0</v>
      </c>
    </row>
    <row r="14" spans="1:18" x14ac:dyDescent="0.3">
      <c r="A14" s="13"/>
      <c r="B14" s="10"/>
      <c r="C14" s="11"/>
      <c r="D14" s="12"/>
      <c r="E14" s="4">
        <f t="shared" si="3"/>
        <v>0</v>
      </c>
      <c r="F14" s="1"/>
      <c r="G14" s="13">
        <v>45818</v>
      </c>
      <c r="H14" s="10" t="s">
        <v>78</v>
      </c>
      <c r="I14" s="11">
        <v>20</v>
      </c>
      <c r="J14" s="12">
        <v>125000</v>
      </c>
      <c r="K14" s="9">
        <f t="shared" si="4"/>
        <v>2500000</v>
      </c>
      <c r="L14" s="1"/>
      <c r="M14" s="2"/>
      <c r="N14" s="2"/>
      <c r="O14" s="2"/>
      <c r="P14" s="2"/>
      <c r="Q14" s="4">
        <f t="shared" si="5"/>
        <v>0</v>
      </c>
    </row>
    <row r="15" spans="1:18" x14ac:dyDescent="0.3">
      <c r="A15" s="3"/>
      <c r="B15" s="10"/>
      <c r="C15" s="11"/>
      <c r="D15" s="12"/>
      <c r="E15" s="4">
        <f t="shared" si="3"/>
        <v>0</v>
      </c>
      <c r="F15" s="1"/>
      <c r="G15" s="13">
        <v>45818</v>
      </c>
      <c r="H15" s="10" t="s">
        <v>29</v>
      </c>
      <c r="I15" s="11">
        <v>3</v>
      </c>
      <c r="J15" s="12">
        <v>115000</v>
      </c>
      <c r="K15" s="9">
        <f t="shared" si="4"/>
        <v>345000</v>
      </c>
      <c r="L15" s="1"/>
      <c r="M15" s="2"/>
      <c r="N15" s="2"/>
      <c r="O15" s="2"/>
      <c r="P15" s="2"/>
      <c r="Q15" s="4">
        <f t="shared" si="5"/>
        <v>0</v>
      </c>
    </row>
    <row r="16" spans="1:18" x14ac:dyDescent="0.3">
      <c r="A16" s="3"/>
      <c r="B16" s="10"/>
      <c r="C16" s="11"/>
      <c r="D16" s="12"/>
      <c r="E16" s="4">
        <f t="shared" si="3"/>
        <v>0</v>
      </c>
      <c r="F16" s="1"/>
      <c r="G16" s="3">
        <v>45835</v>
      </c>
      <c r="H16" s="10" t="s">
        <v>78</v>
      </c>
      <c r="I16" s="11">
        <v>8</v>
      </c>
      <c r="J16" s="12">
        <v>130000</v>
      </c>
      <c r="K16" s="9">
        <f t="shared" si="4"/>
        <v>1040000</v>
      </c>
      <c r="L16" s="1"/>
      <c r="M16" s="2"/>
      <c r="N16" s="2"/>
      <c r="O16" s="2"/>
      <c r="P16" s="2"/>
      <c r="Q16" s="4">
        <f t="shared" si="5"/>
        <v>0</v>
      </c>
    </row>
    <row r="17" spans="1:17" x14ac:dyDescent="0.3">
      <c r="A17" s="3"/>
      <c r="B17" s="10"/>
      <c r="C17" s="11"/>
      <c r="D17" s="12"/>
      <c r="E17" s="4">
        <f t="shared" si="3"/>
        <v>0</v>
      </c>
      <c r="F17" s="1"/>
      <c r="G17" s="3">
        <v>45836</v>
      </c>
      <c r="H17" s="10" t="s">
        <v>78</v>
      </c>
      <c r="I17" s="11">
        <v>19</v>
      </c>
      <c r="J17" s="12">
        <v>130000</v>
      </c>
      <c r="K17" s="9">
        <f t="shared" si="4"/>
        <v>2470000</v>
      </c>
      <c r="L17" s="1"/>
      <c r="M17" s="2"/>
      <c r="N17" s="2"/>
      <c r="O17" s="2"/>
      <c r="P17" s="2"/>
      <c r="Q17" s="4">
        <f t="shared" si="5"/>
        <v>0</v>
      </c>
    </row>
    <row r="18" spans="1:17" x14ac:dyDescent="0.3">
      <c r="A18" s="2"/>
      <c r="B18" s="2"/>
      <c r="C18" s="28"/>
      <c r="D18" s="4"/>
      <c r="E18" s="4">
        <f t="shared" si="3"/>
        <v>0</v>
      </c>
      <c r="F18" s="1"/>
      <c r="G18" s="3">
        <v>45842</v>
      </c>
      <c r="H18" s="10" t="s">
        <v>125</v>
      </c>
      <c r="I18" s="11">
        <v>30</v>
      </c>
      <c r="J18" s="12">
        <v>170000</v>
      </c>
      <c r="K18" s="9">
        <f t="shared" si="4"/>
        <v>5100000</v>
      </c>
      <c r="L18" s="1"/>
      <c r="M18" s="2"/>
      <c r="N18" s="2"/>
      <c r="O18" s="2"/>
      <c r="P18" s="2"/>
      <c r="Q18" s="4">
        <f t="shared" si="5"/>
        <v>0</v>
      </c>
    </row>
    <row r="19" spans="1:17" x14ac:dyDescent="0.3">
      <c r="A19" s="2"/>
      <c r="B19" s="2"/>
      <c r="C19" s="28"/>
      <c r="D19" s="4"/>
      <c r="E19" s="4">
        <f t="shared" si="3"/>
        <v>0</v>
      </c>
      <c r="F19" s="1"/>
      <c r="G19" s="13" t="s">
        <v>126</v>
      </c>
      <c r="H19" s="10" t="s">
        <v>71</v>
      </c>
      <c r="I19" s="11">
        <f>6/12</f>
        <v>0.5</v>
      </c>
      <c r="J19" s="12">
        <v>240000</v>
      </c>
      <c r="K19" s="9">
        <f t="shared" si="4"/>
        <v>120000</v>
      </c>
      <c r="L19" s="1"/>
      <c r="M19" s="2"/>
      <c r="N19" s="2"/>
      <c r="O19" s="2"/>
      <c r="P19" s="2"/>
      <c r="Q19" s="4">
        <f t="shared" si="5"/>
        <v>0</v>
      </c>
    </row>
    <row r="20" spans="1:17" x14ac:dyDescent="0.3">
      <c r="A20" s="1"/>
      <c r="B20" s="1"/>
      <c r="C20" s="14"/>
      <c r="D20" s="5"/>
      <c r="E20" s="6">
        <f>SUM(E13:E19)</f>
        <v>0</v>
      </c>
      <c r="F20" s="1"/>
      <c r="G20" s="1"/>
      <c r="H20" s="1"/>
      <c r="I20" s="5"/>
      <c r="J20" s="5"/>
      <c r="K20" s="5">
        <f>SUM(K13:K19)</f>
        <v>16405000</v>
      </c>
      <c r="L20" s="1"/>
      <c r="M20" s="1"/>
      <c r="N20" s="1"/>
      <c r="O20" s="1"/>
      <c r="P20" s="1"/>
      <c r="Q20" s="6">
        <f>SUM(Q13:Q19)</f>
        <v>0</v>
      </c>
    </row>
  </sheetData>
  <mergeCells count="32">
    <mergeCell ref="Q3:Q4"/>
    <mergeCell ref="A1:Q2"/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M3:M4"/>
    <mergeCell ref="N3:N4"/>
    <mergeCell ref="O3:O4"/>
    <mergeCell ref="P3:P4"/>
    <mergeCell ref="A9:Q10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"/>
  <sheetViews>
    <sheetView workbookViewId="0">
      <selection activeCell="G8" sqref="G8"/>
    </sheetView>
  </sheetViews>
  <sheetFormatPr defaultColWidth="9.109375" defaultRowHeight="12" x14ac:dyDescent="0.25"/>
  <cols>
    <col min="1" max="1" width="10.6640625" style="1" bestFit="1" customWidth="1"/>
    <col min="2" max="2" width="9.88671875" style="5" bestFit="1" customWidth="1"/>
    <col min="3" max="3" width="2.44140625" style="7" customWidth="1"/>
    <col min="4" max="4" width="10.6640625" style="1" bestFit="1" customWidth="1"/>
    <col min="5" max="5" width="9.88671875" style="5" bestFit="1" customWidth="1"/>
    <col min="6" max="6" width="2.44140625" style="8" customWidth="1"/>
    <col min="7" max="7" width="10.6640625" style="1" bestFit="1" customWidth="1"/>
    <col min="8" max="8" width="9.88671875" style="5" bestFit="1" customWidth="1"/>
    <col min="9" max="9" width="3.109375" style="8" customWidth="1"/>
    <col min="10" max="10" width="6.5546875" style="1" bestFit="1" customWidth="1"/>
    <col min="11" max="11" width="10.6640625" style="1" bestFit="1" customWidth="1"/>
    <col min="12" max="12" width="3.109375" style="8" customWidth="1"/>
    <col min="13" max="14" width="10.6640625" style="1" customWidth="1"/>
    <col min="15" max="15" width="3.6640625" style="8" customWidth="1"/>
    <col min="16" max="16" width="9.109375" style="1"/>
    <col min="17" max="17" width="9.88671875" style="1" bestFit="1" customWidth="1"/>
    <col min="18" max="18" width="2.6640625" style="8" customWidth="1"/>
    <col min="19" max="19" width="6.6640625" style="1" bestFit="1" customWidth="1"/>
    <col min="20" max="20" width="9.88671875" style="1" bestFit="1" customWidth="1"/>
    <col min="21" max="21" width="2.77734375" style="8" customWidth="1"/>
    <col min="22" max="22" width="9.109375" style="1"/>
    <col min="23" max="23" width="9.88671875" style="1" bestFit="1" customWidth="1"/>
    <col min="24" max="16384" width="9.109375" style="1"/>
  </cols>
  <sheetData>
    <row r="1" spans="1:23" x14ac:dyDescent="0.25">
      <c r="B1" s="5" t="s">
        <v>16</v>
      </c>
      <c r="E1" s="5" t="s">
        <v>17</v>
      </c>
      <c r="H1" s="5" t="s">
        <v>18</v>
      </c>
      <c r="K1" s="1" t="s">
        <v>19</v>
      </c>
      <c r="N1" s="1" t="s">
        <v>24</v>
      </c>
      <c r="Q1" s="1" t="s">
        <v>25</v>
      </c>
      <c r="T1" s="1" t="s">
        <v>16</v>
      </c>
      <c r="W1" s="1" t="s">
        <v>17</v>
      </c>
    </row>
    <row r="2" spans="1:23" x14ac:dyDescent="0.25">
      <c r="A2" s="1" t="s">
        <v>17</v>
      </c>
      <c r="B2" s="5">
        <f>Canggu!E19</f>
        <v>23126000</v>
      </c>
      <c r="D2" s="1" t="s">
        <v>16</v>
      </c>
      <c r="E2" s="5">
        <f>Sayan!E7</f>
        <v>0</v>
      </c>
      <c r="G2" s="1" t="s">
        <v>16</v>
      </c>
      <c r="H2" s="5">
        <f>Pejeng!E9</f>
        <v>0</v>
      </c>
      <c r="J2" s="1" t="s">
        <v>16</v>
      </c>
      <c r="K2" s="6">
        <f>Samplangan!E8</f>
        <v>0</v>
      </c>
      <c r="L2" s="26"/>
      <c r="M2" s="6" t="s">
        <v>16</v>
      </c>
      <c r="N2" s="6">
        <f>Teges!E7</f>
        <v>0</v>
      </c>
      <c r="O2" s="26"/>
      <c r="P2" s="1" t="s">
        <v>16</v>
      </c>
      <c r="Q2" s="6">
        <f>H2+K2+N2-B3-B4-B5</f>
        <v>-65106000</v>
      </c>
      <c r="R2" s="26"/>
      <c r="S2" s="6" t="s">
        <v>25</v>
      </c>
      <c r="T2" s="6">
        <f>B3+B4+B5-H2-K2-N2</f>
        <v>65106000</v>
      </c>
      <c r="U2" s="26"/>
      <c r="V2" s="6" t="s">
        <v>25</v>
      </c>
      <c r="W2" s="6">
        <f>E3+E4+E5-H3-K3-N3</f>
        <v>322727.2727272734</v>
      </c>
    </row>
    <row r="3" spans="1:23" x14ac:dyDescent="0.25">
      <c r="A3" s="1" t="s">
        <v>18</v>
      </c>
      <c r="B3" s="5">
        <f>Canggu!K19</f>
        <v>15756000</v>
      </c>
      <c r="D3" s="1" t="s">
        <v>18</v>
      </c>
      <c r="E3" s="5">
        <f>Sayan!K7</f>
        <v>0</v>
      </c>
      <c r="G3" s="1" t="s">
        <v>17</v>
      </c>
      <c r="H3" s="5">
        <f>Pejeng!K9</f>
        <v>7790000</v>
      </c>
      <c r="J3" s="1" t="s">
        <v>17</v>
      </c>
      <c r="K3" s="6">
        <f>Samplangan!K8</f>
        <v>1900000</v>
      </c>
      <c r="L3" s="26"/>
      <c r="M3" s="6" t="s">
        <v>17</v>
      </c>
      <c r="N3" s="6">
        <f>Teges!K7</f>
        <v>1500000</v>
      </c>
      <c r="O3" s="26"/>
      <c r="P3" s="1" t="s">
        <v>17</v>
      </c>
      <c r="Q3" s="6">
        <f>H3+K3+N3-E3-E4-E5</f>
        <v>-322727.2727272734</v>
      </c>
      <c r="R3" s="26"/>
      <c r="S3" s="6" t="s">
        <v>17</v>
      </c>
      <c r="T3" s="6">
        <f>B2-E2</f>
        <v>23126000</v>
      </c>
      <c r="U3" s="26"/>
      <c r="V3" s="1" t="s">
        <v>16</v>
      </c>
      <c r="W3" s="6">
        <f>E2-B2</f>
        <v>-23126000</v>
      </c>
    </row>
    <row r="4" spans="1:23" x14ac:dyDescent="0.25">
      <c r="A4" s="1" t="s">
        <v>19</v>
      </c>
      <c r="B4" s="5">
        <f>Canggu!Q19</f>
        <v>38970000</v>
      </c>
      <c r="D4" s="1" t="s">
        <v>19</v>
      </c>
      <c r="E4" s="5">
        <f>Sayan!Q7</f>
        <v>11512727.272727273</v>
      </c>
      <c r="G4" s="1" t="s">
        <v>19</v>
      </c>
      <c r="H4" s="5">
        <f>Pejeng!Q9</f>
        <v>0</v>
      </c>
      <c r="J4" s="1" t="s">
        <v>18</v>
      </c>
      <c r="K4" s="6">
        <f>Samplangan!Q8</f>
        <v>0</v>
      </c>
      <c r="L4" s="26"/>
      <c r="M4" s="6" t="s">
        <v>18</v>
      </c>
      <c r="N4" s="6"/>
      <c r="O4" s="26"/>
    </row>
    <row r="5" spans="1:23" x14ac:dyDescent="0.25">
      <c r="A5" s="1" t="s">
        <v>24</v>
      </c>
      <c r="B5" s="5">
        <f>Canggu!W19</f>
        <v>10380000</v>
      </c>
      <c r="D5" s="1" t="s">
        <v>24</v>
      </c>
      <c r="E5" s="5">
        <f>Sayan!W7</f>
        <v>0</v>
      </c>
      <c r="G5" s="1" t="s">
        <v>24</v>
      </c>
      <c r="J5" s="1" t="s">
        <v>24</v>
      </c>
      <c r="M5" s="1" t="s">
        <v>19</v>
      </c>
      <c r="Q5" s="6"/>
      <c r="R5" s="26"/>
      <c r="S5" s="6"/>
    </row>
    <row r="11" spans="1:23" x14ac:dyDescent="0.25">
      <c r="Q11" s="6"/>
      <c r="R11" s="26"/>
      <c r="S11" s="6"/>
      <c r="W11" s="6"/>
    </row>
    <row r="13" spans="1:23" x14ac:dyDescent="0.25">
      <c r="Q13" s="6"/>
      <c r="R13" s="26"/>
      <c r="S13" s="6"/>
      <c r="W13" s="6"/>
    </row>
    <row r="15" spans="1:23" x14ac:dyDescent="0.25">
      <c r="Q15" s="6"/>
      <c r="R15" s="26"/>
      <c r="S15" s="6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Canggu</vt:lpstr>
      <vt:lpstr>Sayan</vt:lpstr>
      <vt:lpstr>Pejeng</vt:lpstr>
      <vt:lpstr>Samplangan</vt:lpstr>
      <vt:lpstr>Teges</vt:lpstr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2025-03-09T04:08:57Z</cp:lastPrinted>
  <dcterms:created xsi:type="dcterms:W3CDTF">2022-04-12T04:51:42Z</dcterms:created>
  <dcterms:modified xsi:type="dcterms:W3CDTF">2025-10-07T22:17:47Z</dcterms:modified>
</cp:coreProperties>
</file>