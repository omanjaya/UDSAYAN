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ZONX\UD Mitra USaha 2025\"/>
    </mc:Choice>
  </mc:AlternateContent>
  <xr:revisionPtr revIDLastSave="0" documentId="13_ncr:1_{197A5952-28AB-4BA5-BF73-C366E6DE0DF6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Canggu" sheetId="2" r:id="rId1"/>
    <sheet name="Sayan" sheetId="3" r:id="rId2"/>
    <sheet name="Pejeng" sheetId="5" r:id="rId3"/>
    <sheet name="Samplangan" sheetId="6" r:id="rId4"/>
    <sheet name="Teges" sheetId="8" r:id="rId5"/>
    <sheet name="Total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I20" i="5" l="1"/>
  <c r="J20" i="5"/>
  <c r="J19" i="5"/>
  <c r="I19" i="5"/>
  <c r="C5" i="2"/>
  <c r="E5" i="2" s="1"/>
  <c r="J8" i="6" l="1"/>
  <c r="I8" i="6"/>
  <c r="J14" i="5" l="1"/>
  <c r="I14" i="5"/>
  <c r="J5" i="8" l="1"/>
  <c r="I5" i="8"/>
  <c r="J12" i="5"/>
  <c r="I12" i="5"/>
  <c r="J9" i="5" l="1"/>
  <c r="I9" i="5"/>
  <c r="W6" i="3" l="1"/>
  <c r="W7" i="3"/>
  <c r="W8" i="3"/>
  <c r="K31" i="5" l="1"/>
  <c r="K30" i="5"/>
  <c r="K29" i="5"/>
  <c r="K28" i="5"/>
  <c r="K27" i="5"/>
  <c r="K26" i="5"/>
  <c r="K25" i="5"/>
  <c r="K24" i="5"/>
  <c r="K20" i="5"/>
  <c r="K23" i="5"/>
  <c r="K22" i="5"/>
  <c r="K21" i="5"/>
  <c r="K19" i="5" l="1"/>
  <c r="K18" i="5"/>
  <c r="K17" i="5"/>
  <c r="K16" i="5"/>
  <c r="K15" i="5"/>
  <c r="J38" i="5"/>
  <c r="Q8" i="3"/>
  <c r="K9" i="5" l="1"/>
  <c r="W5" i="2"/>
  <c r="Q5" i="2"/>
  <c r="K12" i="5" l="1"/>
  <c r="Q10" i="2"/>
  <c r="Q9" i="2"/>
  <c r="Q8" i="2"/>
  <c r="Q7" i="2"/>
  <c r="K6" i="2"/>
  <c r="K5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E27" i="2"/>
  <c r="E26" i="2"/>
  <c r="E25" i="2"/>
  <c r="E24" i="2"/>
  <c r="E23" i="2"/>
  <c r="E22" i="2"/>
  <c r="E21" i="2"/>
  <c r="E20" i="2"/>
  <c r="E19" i="2"/>
  <c r="W27" i="2" l="1"/>
  <c r="W26" i="2"/>
  <c r="W18" i="2"/>
  <c r="W17" i="2"/>
  <c r="W16" i="2"/>
  <c r="W15" i="2"/>
  <c r="W14" i="2"/>
  <c r="W12" i="2" l="1"/>
  <c r="W13" i="2"/>
  <c r="N2" i="7" l="1"/>
  <c r="K17" i="8"/>
  <c r="E17" i="8"/>
  <c r="K16" i="8"/>
  <c r="E16" i="8"/>
  <c r="Q15" i="8"/>
  <c r="K15" i="8"/>
  <c r="E15" i="8"/>
  <c r="K14" i="8"/>
  <c r="E14" i="8"/>
  <c r="Q13" i="8"/>
  <c r="K13" i="8"/>
  <c r="E13" i="8"/>
  <c r="Q12" i="8"/>
  <c r="K12" i="8"/>
  <c r="E12" i="8"/>
  <c r="Q11" i="8"/>
  <c r="K11" i="8"/>
  <c r="E11" i="8"/>
  <c r="Q10" i="8"/>
  <c r="K10" i="8"/>
  <c r="E10" i="8"/>
  <c r="Q9" i="8"/>
  <c r="K9" i="8"/>
  <c r="E9" i="8"/>
  <c r="Q8" i="8"/>
  <c r="K8" i="8"/>
  <c r="E8" i="8"/>
  <c r="Q7" i="8"/>
  <c r="K7" i="8"/>
  <c r="E7" i="8"/>
  <c r="Q6" i="8"/>
  <c r="K6" i="8"/>
  <c r="E6" i="8"/>
  <c r="Q5" i="8"/>
  <c r="Q18" i="8" s="1"/>
  <c r="K5" i="8"/>
  <c r="E5" i="8"/>
  <c r="E18" i="8" s="1"/>
  <c r="W17" i="3"/>
  <c r="W16" i="3"/>
  <c r="W15" i="3"/>
  <c r="W14" i="3"/>
  <c r="W13" i="3"/>
  <c r="W12" i="3"/>
  <c r="W11" i="3"/>
  <c r="W10" i="3"/>
  <c r="W9" i="3"/>
  <c r="W5" i="3"/>
  <c r="W11" i="2"/>
  <c r="W10" i="2"/>
  <c r="W9" i="2"/>
  <c r="W8" i="2"/>
  <c r="W7" i="2"/>
  <c r="W6" i="2"/>
  <c r="W28" i="2" l="1"/>
  <c r="B5" i="7" s="1"/>
  <c r="W18" i="3"/>
  <c r="E5" i="7" s="1"/>
  <c r="K18" i="8"/>
  <c r="N3" i="7" s="1"/>
  <c r="Q12" i="2"/>
  <c r="Q11" i="2"/>
  <c r="K27" i="2" l="1"/>
  <c r="K26" i="2"/>
  <c r="K18" i="2"/>
  <c r="K17" i="2"/>
  <c r="K16" i="2"/>
  <c r="K15" i="2"/>
  <c r="K14" i="2"/>
  <c r="K13" i="2"/>
  <c r="K12" i="2"/>
  <c r="K11" i="2"/>
  <c r="K10" i="2"/>
  <c r="K9" i="2"/>
  <c r="K8" i="2"/>
  <c r="K7" i="2"/>
  <c r="Q6" i="2"/>
  <c r="K14" i="3" l="1"/>
  <c r="E18" i="2" l="1"/>
  <c r="E17" i="2"/>
  <c r="E16" i="2"/>
  <c r="K6" i="3" l="1"/>
  <c r="K7" i="3"/>
  <c r="Q11" i="3" l="1"/>
  <c r="Q12" i="3"/>
  <c r="Q13" i="3"/>
  <c r="Q14" i="3"/>
  <c r="Q15" i="3"/>
  <c r="Q16" i="3"/>
  <c r="K12" i="3"/>
  <c r="K13" i="3"/>
  <c r="K15" i="3"/>
  <c r="K16" i="3"/>
  <c r="K17" i="3"/>
  <c r="E12" i="3"/>
  <c r="E13" i="3"/>
  <c r="E14" i="3"/>
  <c r="E15" i="3"/>
  <c r="E16" i="3"/>
  <c r="E17" i="3"/>
  <c r="E11" i="3"/>
  <c r="K14" i="5"/>
  <c r="K8" i="3"/>
  <c r="K9" i="3"/>
  <c r="K10" i="3"/>
  <c r="K11" i="3"/>
  <c r="Q22" i="6" l="1"/>
  <c r="Q20" i="6"/>
  <c r="Q21" i="6"/>
  <c r="E20" i="6"/>
  <c r="E21" i="6"/>
  <c r="E25" i="5"/>
  <c r="K21" i="6"/>
  <c r="K20" i="6"/>
  <c r="E6" i="3" l="1"/>
  <c r="E7" i="3"/>
  <c r="E8" i="3"/>
  <c r="E9" i="3"/>
  <c r="E10" i="3"/>
  <c r="E5" i="5" l="1"/>
  <c r="E6" i="5"/>
  <c r="E7" i="5"/>
  <c r="E8" i="5"/>
  <c r="E9" i="5"/>
  <c r="E10" i="5"/>
  <c r="E11" i="5"/>
  <c r="E12" i="5"/>
  <c r="E13" i="5"/>
  <c r="E14" i="5"/>
  <c r="E24" i="5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2" i="6" l="1"/>
  <c r="E32" i="5"/>
  <c r="K11" i="5"/>
  <c r="K13" i="5"/>
  <c r="K5" i="5"/>
  <c r="K6" i="5"/>
  <c r="K7" i="5"/>
  <c r="K8" i="5"/>
  <c r="K10" i="5"/>
  <c r="K32" i="5" l="1"/>
  <c r="E28" i="2" l="1"/>
  <c r="Q9" i="6"/>
  <c r="Q10" i="6"/>
  <c r="Q11" i="6"/>
  <c r="Q12" i="6"/>
  <c r="Q13" i="6"/>
  <c r="Q14" i="6"/>
  <c r="Q15" i="6"/>
  <c r="Q16" i="6"/>
  <c r="Q17" i="6"/>
  <c r="Q18" i="6"/>
  <c r="Q19" i="6"/>
  <c r="K9" i="6"/>
  <c r="K10" i="6"/>
  <c r="K11" i="6"/>
  <c r="K12" i="6"/>
  <c r="K13" i="6"/>
  <c r="K14" i="6"/>
  <c r="K15" i="6"/>
  <c r="K16" i="6"/>
  <c r="K17" i="6"/>
  <c r="K18" i="6"/>
  <c r="K19" i="6"/>
  <c r="K6" i="6"/>
  <c r="Q5" i="6" l="1"/>
  <c r="Q6" i="6"/>
  <c r="Q7" i="6"/>
  <c r="Q8" i="6"/>
  <c r="Q5" i="5"/>
  <c r="Q6" i="5"/>
  <c r="Q7" i="5"/>
  <c r="Q8" i="5"/>
  <c r="Q9" i="5"/>
  <c r="Q10" i="5"/>
  <c r="Q11" i="5"/>
  <c r="Q12" i="5"/>
  <c r="Q13" i="5"/>
  <c r="Q24" i="5"/>
  <c r="Q5" i="3"/>
  <c r="Q6" i="3"/>
  <c r="Q7" i="3"/>
  <c r="Q9" i="3"/>
  <c r="Q10" i="3"/>
  <c r="Q17" i="3"/>
  <c r="K5" i="3"/>
  <c r="K18" i="3" s="1"/>
  <c r="K5" i="6"/>
  <c r="E3" i="7" l="1"/>
  <c r="K28" i="2"/>
  <c r="Q32" i="5"/>
  <c r="Q18" i="3"/>
  <c r="E4" i="7" l="1"/>
  <c r="E5" i="3"/>
  <c r="E18" i="3" s="1"/>
  <c r="E2" i="7" l="1"/>
  <c r="K7" i="6" l="1"/>
  <c r="K8" i="6"/>
  <c r="K22" i="6" l="1"/>
  <c r="K3" i="7" s="1"/>
  <c r="K2" i="7"/>
  <c r="H3" i="7"/>
  <c r="H4" i="7"/>
  <c r="Q3" i="7" l="1"/>
  <c r="W2" i="7"/>
  <c r="Q28" i="2"/>
  <c r="B4" i="7" s="1"/>
  <c r="B2" i="7"/>
  <c r="T3" i="7" s="1"/>
  <c r="K4" i="7"/>
  <c r="B3" i="7"/>
  <c r="W3" i="7" l="1"/>
  <c r="H2" i="7"/>
  <c r="Q2" i="7" s="1"/>
  <c r="T2" i="7" l="1"/>
</calcChain>
</file>

<file path=xl/sharedStrings.xml><?xml version="1.0" encoding="utf-8"?>
<sst xmlns="http://schemas.openxmlformats.org/spreadsheetml/2006/main" count="157" uniqueCount="57">
  <si>
    <t>Tgl</t>
  </si>
  <si>
    <t>Canggu-Sayan</t>
  </si>
  <si>
    <t>Harga</t>
  </si>
  <si>
    <t>Total</t>
  </si>
  <si>
    <t>Qty</t>
  </si>
  <si>
    <t>Sayan-Canggu</t>
  </si>
  <si>
    <t>Samplangan-Pejeng</t>
  </si>
  <si>
    <t>Samplangan-Sayan</t>
  </si>
  <si>
    <t>Samplangan-Canggu</t>
  </si>
  <si>
    <t>Pejeng-Canggu</t>
  </si>
  <si>
    <t>Pejeng-Sayan</t>
  </si>
  <si>
    <t>Pejeng-Samplangan</t>
  </si>
  <si>
    <t>Sayan-Pejeng</t>
  </si>
  <si>
    <t>Canggu-Pejeng</t>
  </si>
  <si>
    <t>Canggu-Samplangan</t>
  </si>
  <si>
    <t>Sayan-Samplangan</t>
  </si>
  <si>
    <t>Canggu</t>
  </si>
  <si>
    <t>Sayan</t>
  </si>
  <si>
    <t>Pejeng</t>
  </si>
  <si>
    <t>Samplangan</t>
  </si>
  <si>
    <t>Canggu-Teges</t>
  </si>
  <si>
    <t>Sayan-Teges</t>
  </si>
  <si>
    <t>Teges-Canggu</t>
  </si>
  <si>
    <t>Teges-Sayan</t>
  </si>
  <si>
    <t>Teges</t>
  </si>
  <si>
    <t>Ulit</t>
  </si>
  <si>
    <t>Sisa Hutang</t>
  </si>
  <si>
    <t>andesit 20x40x1,5 bakar</t>
  </si>
  <si>
    <t>batu koral putih m ( Sinar )</t>
  </si>
  <si>
    <t>andesit 30x30x5 bakar ( Leo )</t>
  </si>
  <si>
    <t>andesit 20x40x3 bakar ( Sinar )</t>
  </si>
  <si>
    <t>andesit 30x60x3 bakar ( Sinar )</t>
  </si>
  <si>
    <t>neon candi ( Sinar )</t>
  </si>
  <si>
    <t>andesit 30x60x5 bakar ( Leo )</t>
  </si>
  <si>
    <t>andesit 20x40x1,5 bakar ( Leo )</t>
  </si>
  <si>
    <t>andesit 20x40x1,5 bakar ( Sinar )</t>
  </si>
  <si>
    <t>lis bunga besar ( Leo )</t>
  </si>
  <si>
    <t>green sukabumi 15x15 ekspor ( Resi )</t>
  </si>
  <si>
    <t>andesit 30x30x3 bakar ( Sinar )</t>
  </si>
  <si>
    <t>putih semi 20x40x2 ( Leo )</t>
  </si>
  <si>
    <t>Green sukabumi 10x10 ekspor</t>
  </si>
  <si>
    <t>green sukabumi 15x15 ekspor</t>
  </si>
  <si>
    <t>Green sukabumi 15x15</t>
  </si>
  <si>
    <t>Lime stone</t>
  </si>
  <si>
    <t>andesit 30x40x3 bakar ( Sinar )</t>
  </si>
  <si>
    <t>andesit 40x60x3 bakar</t>
  </si>
  <si>
    <t>pae 1 putih tulang ( Sawal )</t>
  </si>
  <si>
    <t>green sukabumi 20x20</t>
  </si>
  <si>
    <t>Green Sukabumi 10x20 ekspor ( Sawal )</t>
  </si>
  <si>
    <t>andesit 30x60x5 bakar ( Sawal )</t>
  </si>
  <si>
    <t>Paras tulungagung 20x40x5 ( Sinar )</t>
  </si>
  <si>
    <t>Pacito Roso 20x40x2</t>
  </si>
  <si>
    <t>andesit 20x40x1,5 poles</t>
  </si>
  <si>
    <t>Batu Kolam Putih ( Tumble )</t>
  </si>
  <si>
    <t>bali green 20x40x2</t>
  </si>
  <si>
    <t>Bali green 20x40x2</t>
  </si>
  <si>
    <t>Family gatering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</si>
</sst>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41" fontId="1" fillId="0" borderId="1" xfId="1" applyFont="1" applyBorder="1"/>
    <xf numFmtId="41" fontId="1" fillId="0" borderId="0" xfId="1" applyFont="1"/>
    <xf numFmtId="41" fontId="1" fillId="0" borderId="0" xfId="0" applyNumberFormat="1" applyFont="1"/>
    <xf numFmtId="0" fontId="5" fillId="3" borderId="0" xfId="0" applyFont="1" applyFill="1"/>
    <xf numFmtId="0" fontId="1" fillId="3" borderId="0" xfId="0" applyFont="1" applyFill="1"/>
    <xf numFmtId="41" fontId="1" fillId="0" borderId="1" xfId="1" applyFont="1" applyFill="1" applyBorder="1"/>
    <xf numFmtId="0" fontId="1" fillId="0" borderId="1" xfId="0" applyFont="1" applyBorder="1" applyProtection="1">
      <protection locked="0"/>
    </xf>
    <xf numFmtId="164" fontId="1" fillId="0" borderId="1" xfId="1" applyNumberFormat="1" applyFont="1" applyBorder="1" applyProtection="1">
      <protection locked="0"/>
    </xf>
    <xf numFmtId="165" fontId="1" fillId="0" borderId="1" xfId="2" applyNumberFormat="1" applyFont="1" applyBorder="1" applyProtection="1">
      <protection locked="0"/>
    </xf>
    <xf numFmtId="14" fontId="1" fillId="0" borderId="1" xfId="0" applyNumberFormat="1" applyFont="1" applyBorder="1" applyProtection="1">
      <protection locked="0"/>
    </xf>
    <xf numFmtId="164" fontId="1" fillId="0" borderId="0" xfId="1" applyNumberFormat="1" applyFont="1"/>
    <xf numFmtId="14" fontId="1" fillId="0" borderId="0" xfId="0" applyNumberFormat="1" applyFont="1"/>
    <xf numFmtId="164" fontId="1" fillId="0" borderId="1" xfId="1" applyNumberFormat="1" applyFont="1" applyBorder="1"/>
    <xf numFmtId="0" fontId="7" fillId="0" borderId="1" xfId="0" applyFont="1" applyBorder="1" applyProtection="1">
      <protection locked="0"/>
    </xf>
    <xf numFmtId="0" fontId="9" fillId="0" borderId="0" xfId="0" applyFont="1"/>
    <xf numFmtId="14" fontId="9" fillId="0" borderId="1" xfId="0" applyNumberFormat="1" applyFont="1" applyBorder="1" applyProtection="1">
      <protection locked="0"/>
    </xf>
    <xf numFmtId="0" fontId="9" fillId="0" borderId="1" xfId="0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5" fontId="9" fillId="0" borderId="1" xfId="2" applyNumberFormat="1" applyFont="1" applyBorder="1" applyProtection="1">
      <protection locked="0"/>
    </xf>
    <xf numFmtId="41" fontId="9" fillId="0" borderId="1" xfId="1" applyFont="1" applyFill="1" applyBorder="1"/>
    <xf numFmtId="41" fontId="9" fillId="0" borderId="1" xfId="1" applyFont="1" applyBorder="1"/>
    <xf numFmtId="164" fontId="9" fillId="0" borderId="0" xfId="1" applyNumberFormat="1" applyFont="1"/>
    <xf numFmtId="41" fontId="9" fillId="0" borderId="0" xfId="1" applyFont="1"/>
    <xf numFmtId="14" fontId="9" fillId="0" borderId="1" xfId="0" applyNumberFormat="1" applyFont="1" applyBorder="1"/>
    <xf numFmtId="2" fontId="9" fillId="0" borderId="1" xfId="0" applyNumberFormat="1" applyFont="1" applyBorder="1"/>
    <xf numFmtId="0" fontId="9" fillId="0" borderId="1" xfId="0" applyFont="1" applyBorder="1"/>
    <xf numFmtId="41" fontId="1" fillId="3" borderId="0" xfId="0" applyNumberFormat="1" applyFont="1" applyFill="1"/>
    <xf numFmtId="41" fontId="1" fillId="0" borderId="1" xfId="1" applyFont="1" applyBorder="1" applyProtection="1">
      <protection locked="0"/>
    </xf>
    <xf numFmtId="41" fontId="9" fillId="0" borderId="0" xfId="0" applyNumberFormat="1" applyFont="1"/>
    <xf numFmtId="164" fontId="1" fillId="0" borderId="0" xfId="1" applyNumberFormat="1" applyFont="1" applyBorder="1"/>
    <xf numFmtId="41" fontId="1" fillId="0" borderId="0" xfId="1" applyFont="1" applyBorder="1"/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1" fontId="9" fillId="2" borderId="2" xfId="1" applyFont="1" applyFill="1" applyBorder="1" applyAlignment="1">
      <alignment horizontal="center" vertical="center"/>
    </xf>
    <xf numFmtId="41" fontId="9" fillId="2" borderId="3" xfId="1" applyFont="1" applyFill="1" applyBorder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1" fontId="1" fillId="2" borderId="2" xfId="1" applyFont="1" applyFill="1" applyBorder="1" applyAlignment="1">
      <alignment horizontal="center" vertical="center"/>
    </xf>
    <xf numFmtId="41" fontId="1" fillId="2" borderId="3" xfId="1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3" xfId="1" applyNumberFormat="1" applyFont="1" applyFill="1" applyBorder="1" applyAlignment="1">
      <alignment horizontal="center" vertical="center"/>
    </xf>
  </cellXfs>
  <cellStyles count="8">
    <cellStyle name="Comma" xfId="2" builtinId="3"/>
    <cellStyle name="Comma [0]" xfId="1" builtinId="6"/>
    <cellStyle name="Comma [0] 2" xfId="4" xr:uid="{40F8CA70-6E7C-4B4F-9442-C791ED8EADBF}"/>
    <cellStyle name="Comma [0] 3" xfId="5" xr:uid="{343B2037-FCB8-4047-909B-503276432DAC}"/>
    <cellStyle name="Comma [0] 4" xfId="6" xr:uid="{4BEDE9A4-8435-4751-8FC6-861FEA8E93D2}"/>
    <cellStyle name="Comma [0] 5" xfId="7" xr:uid="{77C0C067-ADEC-448B-AD13-62FA198DA9E3}"/>
    <cellStyle name="Normal" xfId="0" builtinId="0"/>
    <cellStyle name="Normal 2" xfId="3" xr:uid="{E13D6F04-8B9F-4CB5-AB49-68B20FA0D0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opLeftCell="C1" workbookViewId="0">
      <selection activeCell="Z6" sqref="Z6"/>
    </sheetView>
  </sheetViews>
  <sheetFormatPr defaultColWidth="4.88671875" defaultRowHeight="10.199999999999999" x14ac:dyDescent="0.2"/>
  <cols>
    <col min="1" max="1" width="8.33203125" style="18" bestFit="1" customWidth="1"/>
    <col min="2" max="2" width="21.6640625" style="18" bestFit="1" customWidth="1"/>
    <col min="3" max="3" width="8.21875" style="25" bestFit="1" customWidth="1"/>
    <col min="4" max="4" width="9" style="26" bestFit="1" customWidth="1"/>
    <col min="5" max="5" width="8.5546875" style="26" bestFit="1" customWidth="1"/>
    <col min="6" max="6" width="4.88671875" style="18"/>
    <col min="7" max="7" width="8.109375" style="18" bestFit="1" customWidth="1"/>
    <col min="8" max="8" width="21.33203125" style="18" bestFit="1" customWidth="1"/>
    <col min="9" max="9" width="5.44140625" style="18" bestFit="1" customWidth="1"/>
    <col min="10" max="11" width="8.5546875" style="26" bestFit="1" customWidth="1"/>
    <col min="12" max="12" width="2.88671875" style="18" customWidth="1"/>
    <col min="13" max="13" width="8.109375" style="18" bestFit="1" customWidth="1"/>
    <col min="14" max="14" width="14.6640625" style="18" bestFit="1" customWidth="1"/>
    <col min="15" max="15" width="6.21875" style="18" bestFit="1" customWidth="1"/>
    <col min="16" max="16" width="7" style="26" bestFit="1" customWidth="1"/>
    <col min="17" max="17" width="8.5546875" style="26" bestFit="1" customWidth="1"/>
    <col min="18" max="18" width="4.88671875" style="18"/>
    <col min="19" max="19" width="8.109375" style="18" bestFit="1" customWidth="1"/>
    <col min="20" max="20" width="22.6640625" style="18" bestFit="1" customWidth="1"/>
    <col min="21" max="21" width="5.88671875" style="18" bestFit="1" customWidth="1"/>
    <col min="22" max="22" width="7" style="18" bestFit="1" customWidth="1"/>
    <col min="23" max="23" width="8.5546875" style="18" bestFit="1" customWidth="1"/>
    <col min="24" max="16384" width="4.88671875" style="18"/>
  </cols>
  <sheetData>
    <row r="1" spans="1:23" x14ac:dyDescent="0.2">
      <c r="A1" s="39">
        <v>44805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23" x14ac:dyDescent="0.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23" x14ac:dyDescent="0.2">
      <c r="A3" s="35" t="s">
        <v>0</v>
      </c>
      <c r="B3" s="35" t="s">
        <v>1</v>
      </c>
      <c r="C3" s="40" t="s">
        <v>4</v>
      </c>
      <c r="D3" s="37" t="s">
        <v>2</v>
      </c>
      <c r="E3" s="37" t="s">
        <v>3</v>
      </c>
      <c r="G3" s="35" t="s">
        <v>0</v>
      </c>
      <c r="H3" s="35" t="s">
        <v>13</v>
      </c>
      <c r="I3" s="35" t="s">
        <v>4</v>
      </c>
      <c r="J3" s="37" t="s">
        <v>2</v>
      </c>
      <c r="K3" s="37" t="s">
        <v>3</v>
      </c>
      <c r="M3" s="35" t="s">
        <v>0</v>
      </c>
      <c r="N3" s="35" t="s">
        <v>14</v>
      </c>
      <c r="O3" s="35" t="s">
        <v>4</v>
      </c>
      <c r="P3" s="37" t="s">
        <v>2</v>
      </c>
      <c r="Q3" s="37" t="s">
        <v>3</v>
      </c>
      <c r="S3" s="35" t="s">
        <v>0</v>
      </c>
      <c r="T3" s="35" t="s">
        <v>20</v>
      </c>
      <c r="U3" s="35" t="s">
        <v>4</v>
      </c>
      <c r="V3" s="37" t="s">
        <v>2</v>
      </c>
      <c r="W3" s="37" t="s">
        <v>3</v>
      </c>
    </row>
    <row r="4" spans="1:23" x14ac:dyDescent="0.2">
      <c r="A4" s="36"/>
      <c r="B4" s="36"/>
      <c r="C4" s="41"/>
      <c r="D4" s="38"/>
      <c r="E4" s="38"/>
      <c r="G4" s="36"/>
      <c r="H4" s="36"/>
      <c r="I4" s="36"/>
      <c r="J4" s="38"/>
      <c r="K4" s="38"/>
      <c r="M4" s="36"/>
      <c r="N4" s="36"/>
      <c r="O4" s="36"/>
      <c r="P4" s="38"/>
      <c r="Q4" s="38"/>
      <c r="S4" s="36"/>
      <c r="T4" s="36"/>
      <c r="U4" s="36"/>
      <c r="V4" s="38"/>
      <c r="W4" s="38"/>
    </row>
    <row r="5" spans="1:23" ht="12" x14ac:dyDescent="0.25">
      <c r="A5" s="19">
        <v>45966</v>
      </c>
      <c r="B5" s="10" t="s">
        <v>45</v>
      </c>
      <c r="C5" s="11">
        <f>40/4</f>
        <v>10</v>
      </c>
      <c r="D5" s="12">
        <v>320000</v>
      </c>
      <c r="E5" s="23">
        <f t="shared" ref="E5:E15" si="0">C5*D5</f>
        <v>3200000</v>
      </c>
      <c r="G5" s="19">
        <v>45984</v>
      </c>
      <c r="H5" s="10" t="s">
        <v>56</v>
      </c>
      <c r="I5" s="21">
        <v>1</v>
      </c>
      <c r="J5" s="22">
        <v>8000000</v>
      </c>
      <c r="K5" s="24">
        <f t="shared" ref="K5:K6" si="1">I5*J5</f>
        <v>8000000</v>
      </c>
      <c r="M5" s="19"/>
      <c r="N5" s="10"/>
      <c r="O5" s="11"/>
      <c r="P5" s="12"/>
      <c r="Q5" s="24">
        <f t="shared" ref="Q5:Q27" si="2">O5*P5</f>
        <v>0</v>
      </c>
      <c r="S5" s="19">
        <v>45952</v>
      </c>
      <c r="T5" s="10" t="s">
        <v>41</v>
      </c>
      <c r="U5" s="11">
        <v>25</v>
      </c>
      <c r="V5" s="12">
        <v>175000</v>
      </c>
      <c r="W5" s="23">
        <f t="shared" ref="W5" si="3">U5*V5</f>
        <v>4375000</v>
      </c>
    </row>
    <row r="6" spans="1:23" ht="12" x14ac:dyDescent="0.25">
      <c r="A6" s="19">
        <v>45975</v>
      </c>
      <c r="B6" s="10" t="s">
        <v>47</v>
      </c>
      <c r="C6" s="11">
        <v>100</v>
      </c>
      <c r="D6" s="12">
        <v>125000</v>
      </c>
      <c r="E6" s="23">
        <f t="shared" si="0"/>
        <v>12500000</v>
      </c>
      <c r="G6" s="19"/>
      <c r="H6" s="10"/>
      <c r="I6" s="11"/>
      <c r="J6" s="22"/>
      <c r="K6" s="24">
        <f t="shared" si="1"/>
        <v>0</v>
      </c>
      <c r="M6" s="19"/>
      <c r="N6" s="10"/>
      <c r="O6" s="11"/>
      <c r="P6" s="12"/>
      <c r="Q6" s="24">
        <f t="shared" si="2"/>
        <v>0</v>
      </c>
      <c r="S6" s="19">
        <v>45958</v>
      </c>
      <c r="T6" s="10" t="s">
        <v>42</v>
      </c>
      <c r="U6" s="11">
        <v>98</v>
      </c>
      <c r="V6" s="12">
        <v>110000</v>
      </c>
      <c r="W6" s="24">
        <f t="shared" ref="W6:W27" si="4">U6*V6</f>
        <v>10780000</v>
      </c>
    </row>
    <row r="7" spans="1:23" ht="12" x14ac:dyDescent="0.25">
      <c r="A7" s="19">
        <v>45975</v>
      </c>
      <c r="B7" s="10" t="s">
        <v>27</v>
      </c>
      <c r="C7" s="11">
        <v>20</v>
      </c>
      <c r="D7" s="12">
        <v>120000</v>
      </c>
      <c r="E7" s="23">
        <f t="shared" si="0"/>
        <v>2400000</v>
      </c>
      <c r="G7" s="19"/>
      <c r="H7" s="10"/>
      <c r="I7" s="11"/>
      <c r="J7" s="31"/>
      <c r="K7" s="24">
        <f t="shared" ref="K7:K27" si="5">I7*J7</f>
        <v>0</v>
      </c>
      <c r="M7" s="19"/>
      <c r="N7" s="10"/>
      <c r="O7" s="11"/>
      <c r="P7" s="12"/>
      <c r="Q7" s="4">
        <f t="shared" si="2"/>
        <v>0</v>
      </c>
      <c r="S7" s="19">
        <v>45987</v>
      </c>
      <c r="T7" s="10" t="s">
        <v>55</v>
      </c>
      <c r="U7" s="11">
        <v>1.5</v>
      </c>
      <c r="V7" s="12">
        <v>90000</v>
      </c>
      <c r="W7" s="24">
        <f t="shared" si="4"/>
        <v>135000</v>
      </c>
    </row>
    <row r="8" spans="1:23" ht="12" x14ac:dyDescent="0.25">
      <c r="A8" s="19">
        <v>45983</v>
      </c>
      <c r="B8" s="10" t="s">
        <v>51</v>
      </c>
      <c r="C8" s="11">
        <v>16</v>
      </c>
      <c r="D8" s="12">
        <v>115000</v>
      </c>
      <c r="E8" s="23">
        <f t="shared" si="0"/>
        <v>1840000</v>
      </c>
      <c r="G8" s="19"/>
      <c r="H8" s="10"/>
      <c r="I8" s="11"/>
      <c r="J8" s="31"/>
      <c r="K8" s="24">
        <f t="shared" si="5"/>
        <v>0</v>
      </c>
      <c r="M8" s="19"/>
      <c r="N8" s="10"/>
      <c r="O8" s="11"/>
      <c r="P8" s="12"/>
      <c r="Q8" s="4">
        <f t="shared" si="2"/>
        <v>0</v>
      </c>
      <c r="S8" s="19"/>
      <c r="T8" s="10"/>
      <c r="U8" s="11"/>
      <c r="V8" s="12"/>
      <c r="W8" s="24">
        <f t="shared" si="4"/>
        <v>0</v>
      </c>
    </row>
    <row r="9" spans="1:23" ht="12" x14ac:dyDescent="0.25">
      <c r="A9" s="19">
        <v>45986</v>
      </c>
      <c r="B9" s="10" t="s">
        <v>53</v>
      </c>
      <c r="C9" s="11">
        <v>60</v>
      </c>
      <c r="D9" s="12">
        <v>160000</v>
      </c>
      <c r="E9" s="23">
        <f t="shared" si="0"/>
        <v>9600000</v>
      </c>
      <c r="G9" s="19"/>
      <c r="H9" s="10"/>
      <c r="I9" s="21"/>
      <c r="J9" s="22"/>
      <c r="K9" s="24">
        <f t="shared" si="5"/>
        <v>0</v>
      </c>
      <c r="M9" s="3"/>
      <c r="N9" s="10"/>
      <c r="O9" s="11"/>
      <c r="P9" s="12"/>
      <c r="Q9" s="4">
        <f t="shared" si="2"/>
        <v>0</v>
      </c>
      <c r="S9" s="19"/>
      <c r="T9" s="10"/>
      <c r="U9" s="21"/>
      <c r="V9" s="24"/>
      <c r="W9" s="24">
        <f t="shared" si="4"/>
        <v>0</v>
      </c>
    </row>
    <row r="10" spans="1:23" ht="12" x14ac:dyDescent="0.25">
      <c r="A10" s="19">
        <v>45989</v>
      </c>
      <c r="B10" s="10" t="s">
        <v>53</v>
      </c>
      <c r="C10" s="11">
        <v>40</v>
      </c>
      <c r="D10" s="12">
        <v>160000</v>
      </c>
      <c r="E10" s="23">
        <f t="shared" si="0"/>
        <v>6400000</v>
      </c>
      <c r="G10" s="19"/>
      <c r="H10" s="10"/>
      <c r="I10" s="11"/>
      <c r="J10" s="31"/>
      <c r="K10" s="24">
        <f t="shared" si="5"/>
        <v>0</v>
      </c>
      <c r="M10" s="3"/>
      <c r="N10" s="10"/>
      <c r="O10" s="11"/>
      <c r="P10" s="12"/>
      <c r="Q10" s="4">
        <f t="shared" si="2"/>
        <v>0</v>
      </c>
      <c r="S10" s="19"/>
      <c r="T10" s="10"/>
      <c r="U10" s="21"/>
      <c r="V10" s="24"/>
      <c r="W10" s="24">
        <f t="shared" si="4"/>
        <v>0</v>
      </c>
    </row>
    <row r="11" spans="1:23" ht="12" x14ac:dyDescent="0.25">
      <c r="A11" s="19">
        <v>45989</v>
      </c>
      <c r="B11" s="10" t="s">
        <v>54</v>
      </c>
      <c r="C11" s="11">
        <v>38</v>
      </c>
      <c r="D11" s="12">
        <v>85000</v>
      </c>
      <c r="E11" s="23">
        <f t="shared" si="0"/>
        <v>3230000</v>
      </c>
      <c r="G11" s="19"/>
      <c r="H11" s="20"/>
      <c r="I11" s="21"/>
      <c r="J11" s="22"/>
      <c r="K11" s="24">
        <f t="shared" si="5"/>
        <v>0</v>
      </c>
      <c r="M11" s="19"/>
      <c r="N11" s="10"/>
      <c r="O11" s="21"/>
      <c r="P11" s="24"/>
      <c r="Q11" s="24">
        <f t="shared" si="2"/>
        <v>0</v>
      </c>
      <c r="S11" s="19"/>
      <c r="T11" s="20"/>
      <c r="U11" s="21"/>
      <c r="V11" s="24"/>
      <c r="W11" s="24">
        <f t="shared" si="4"/>
        <v>0</v>
      </c>
    </row>
    <row r="12" spans="1:23" ht="12" x14ac:dyDescent="0.25">
      <c r="A12" s="19"/>
      <c r="B12" s="10"/>
      <c r="C12" s="11"/>
      <c r="D12" s="12"/>
      <c r="E12" s="23">
        <f t="shared" si="0"/>
        <v>0</v>
      </c>
      <c r="G12" s="19"/>
      <c r="H12" s="20"/>
      <c r="I12" s="21"/>
      <c r="J12" s="24"/>
      <c r="K12" s="24">
        <f t="shared" si="5"/>
        <v>0</v>
      </c>
      <c r="M12" s="19"/>
      <c r="N12" s="20"/>
      <c r="O12" s="21"/>
      <c r="P12" s="12"/>
      <c r="Q12" s="24">
        <f t="shared" si="2"/>
        <v>0</v>
      </c>
      <c r="S12" s="19"/>
      <c r="T12" s="10"/>
      <c r="U12" s="11"/>
      <c r="V12" s="12"/>
      <c r="W12" s="24">
        <f t="shared" si="4"/>
        <v>0</v>
      </c>
    </row>
    <row r="13" spans="1:23" ht="12" x14ac:dyDescent="0.25">
      <c r="A13" s="19"/>
      <c r="B13" s="10"/>
      <c r="C13" s="11"/>
      <c r="D13" s="12"/>
      <c r="E13" s="23">
        <f t="shared" si="0"/>
        <v>0</v>
      </c>
      <c r="G13" s="19"/>
      <c r="H13" s="20"/>
      <c r="I13" s="21"/>
      <c r="J13" s="24"/>
      <c r="K13" s="24">
        <f t="shared" si="5"/>
        <v>0</v>
      </c>
      <c r="M13" s="19"/>
      <c r="N13" s="20"/>
      <c r="O13" s="21"/>
      <c r="P13" s="24"/>
      <c r="Q13" s="24">
        <f t="shared" si="2"/>
        <v>0</v>
      </c>
      <c r="S13" s="19"/>
      <c r="T13" s="10"/>
      <c r="U13" s="11"/>
      <c r="V13" s="12"/>
      <c r="W13" s="24">
        <f t="shared" si="4"/>
        <v>0</v>
      </c>
    </row>
    <row r="14" spans="1:23" ht="12" x14ac:dyDescent="0.25">
      <c r="A14" s="19"/>
      <c r="B14" s="10"/>
      <c r="C14" s="11"/>
      <c r="D14" s="12"/>
      <c r="E14" s="23">
        <f t="shared" si="0"/>
        <v>0</v>
      </c>
      <c r="G14" s="19"/>
      <c r="H14" s="20"/>
      <c r="I14" s="21"/>
      <c r="J14" s="22"/>
      <c r="K14" s="24">
        <f t="shared" si="5"/>
        <v>0</v>
      </c>
      <c r="M14" s="19"/>
      <c r="N14" s="20"/>
      <c r="O14" s="21"/>
      <c r="P14" s="24"/>
      <c r="Q14" s="24">
        <f t="shared" si="2"/>
        <v>0</v>
      </c>
      <c r="S14" s="19"/>
      <c r="T14" s="20"/>
      <c r="U14" s="21"/>
      <c r="V14" s="24"/>
      <c r="W14" s="24">
        <f t="shared" si="4"/>
        <v>0</v>
      </c>
    </row>
    <row r="15" spans="1:23" ht="12" x14ac:dyDescent="0.25">
      <c r="A15" s="19"/>
      <c r="B15" s="10"/>
      <c r="C15" s="11"/>
      <c r="D15" s="12"/>
      <c r="E15" s="23">
        <f t="shared" si="0"/>
        <v>0</v>
      </c>
      <c r="G15" s="19"/>
      <c r="H15" s="20"/>
      <c r="I15" s="21"/>
      <c r="J15" s="24"/>
      <c r="K15" s="24">
        <f t="shared" si="5"/>
        <v>0</v>
      </c>
      <c r="M15" s="19"/>
      <c r="N15" s="20"/>
      <c r="O15" s="21"/>
      <c r="P15" s="24"/>
      <c r="Q15" s="24">
        <f t="shared" si="2"/>
        <v>0</v>
      </c>
      <c r="S15" s="19"/>
      <c r="T15" s="20"/>
      <c r="U15" s="21"/>
      <c r="V15" s="24"/>
      <c r="W15" s="24">
        <f t="shared" si="4"/>
        <v>0</v>
      </c>
    </row>
    <row r="16" spans="1:23" ht="12" x14ac:dyDescent="0.25">
      <c r="A16" s="19"/>
      <c r="B16" s="10"/>
      <c r="C16" s="11"/>
      <c r="D16" s="12"/>
      <c r="E16" s="23">
        <f t="shared" ref="E16:E27" si="6">C16*D16</f>
        <v>0</v>
      </c>
      <c r="G16" s="19"/>
      <c r="H16" s="20"/>
      <c r="I16" s="21"/>
      <c r="J16" s="24"/>
      <c r="K16" s="24">
        <f t="shared" si="5"/>
        <v>0</v>
      </c>
      <c r="M16" s="19"/>
      <c r="N16" s="20"/>
      <c r="O16" s="21"/>
      <c r="P16" s="24"/>
      <c r="Q16" s="24">
        <f t="shared" si="2"/>
        <v>0</v>
      </c>
      <c r="S16" s="19"/>
      <c r="T16" s="20"/>
      <c r="U16" s="21"/>
      <c r="V16" s="24"/>
      <c r="W16" s="24">
        <f t="shared" si="4"/>
        <v>0</v>
      </c>
    </row>
    <row r="17" spans="1:23" ht="12" x14ac:dyDescent="0.25">
      <c r="A17" s="19"/>
      <c r="B17" s="10"/>
      <c r="C17" s="11"/>
      <c r="D17" s="12"/>
      <c r="E17" s="23">
        <f t="shared" si="6"/>
        <v>0</v>
      </c>
      <c r="G17" s="19"/>
      <c r="H17" s="20"/>
      <c r="I17" s="21"/>
      <c r="J17" s="24"/>
      <c r="K17" s="24">
        <f t="shared" si="5"/>
        <v>0</v>
      </c>
      <c r="M17" s="19"/>
      <c r="N17" s="20"/>
      <c r="O17" s="21"/>
      <c r="P17" s="24"/>
      <c r="Q17" s="24">
        <f t="shared" si="2"/>
        <v>0</v>
      </c>
      <c r="S17" s="19"/>
      <c r="T17" s="20"/>
      <c r="U17" s="21"/>
      <c r="V17" s="24"/>
      <c r="W17" s="24">
        <f t="shared" si="4"/>
        <v>0</v>
      </c>
    </row>
    <row r="18" spans="1:23" ht="12" x14ac:dyDescent="0.25">
      <c r="A18" s="19"/>
      <c r="B18" s="10"/>
      <c r="C18" s="11"/>
      <c r="D18" s="12"/>
      <c r="E18" s="23">
        <f t="shared" si="6"/>
        <v>0</v>
      </c>
      <c r="G18" s="19"/>
      <c r="H18" s="20"/>
      <c r="I18" s="21"/>
      <c r="J18" s="24"/>
      <c r="K18" s="24">
        <f t="shared" si="5"/>
        <v>0</v>
      </c>
      <c r="M18" s="19"/>
      <c r="N18" s="20"/>
      <c r="O18" s="21"/>
      <c r="P18" s="24"/>
      <c r="Q18" s="24">
        <f t="shared" si="2"/>
        <v>0</v>
      </c>
      <c r="S18" s="19"/>
      <c r="T18" s="20"/>
      <c r="U18" s="21"/>
      <c r="V18" s="24"/>
      <c r="W18" s="24">
        <f t="shared" si="4"/>
        <v>0</v>
      </c>
    </row>
    <row r="19" spans="1:23" ht="12" x14ac:dyDescent="0.25">
      <c r="A19" s="13"/>
      <c r="B19" s="10"/>
      <c r="C19" s="11"/>
      <c r="D19" s="12"/>
      <c r="E19" s="23">
        <f t="shared" si="6"/>
        <v>0</v>
      </c>
      <c r="G19" s="19"/>
      <c r="H19" s="20"/>
      <c r="I19" s="21"/>
      <c r="J19" s="24"/>
      <c r="K19" s="24"/>
      <c r="M19" s="19"/>
      <c r="N19" s="20"/>
      <c r="O19" s="21"/>
      <c r="P19" s="24"/>
      <c r="Q19" s="24">
        <f t="shared" si="2"/>
        <v>0</v>
      </c>
      <c r="S19" s="19"/>
      <c r="T19" s="20"/>
      <c r="U19" s="21"/>
      <c r="V19" s="24"/>
      <c r="W19" s="24"/>
    </row>
    <row r="20" spans="1:23" ht="12" x14ac:dyDescent="0.25">
      <c r="A20" s="19"/>
      <c r="B20" s="10"/>
      <c r="C20" s="11"/>
      <c r="D20" s="12"/>
      <c r="E20" s="23">
        <f t="shared" si="6"/>
        <v>0</v>
      </c>
      <c r="G20" s="19"/>
      <c r="H20" s="20"/>
      <c r="I20" s="21"/>
      <c r="J20" s="24"/>
      <c r="K20" s="24"/>
      <c r="M20" s="19"/>
      <c r="N20" s="20"/>
      <c r="O20" s="21"/>
      <c r="P20" s="24"/>
      <c r="Q20" s="24">
        <f t="shared" si="2"/>
        <v>0</v>
      </c>
      <c r="S20" s="19"/>
      <c r="T20" s="20"/>
      <c r="U20" s="21"/>
      <c r="V20" s="24"/>
      <c r="W20" s="24"/>
    </row>
    <row r="21" spans="1:23" ht="12" x14ac:dyDescent="0.25">
      <c r="A21" s="19"/>
      <c r="B21" s="10"/>
      <c r="C21" s="11"/>
      <c r="D21" s="12"/>
      <c r="E21" s="23">
        <f t="shared" si="6"/>
        <v>0</v>
      </c>
      <c r="G21" s="19"/>
      <c r="H21" s="20"/>
      <c r="I21" s="21"/>
      <c r="J21" s="24"/>
      <c r="K21" s="24"/>
      <c r="M21" s="19"/>
      <c r="N21" s="20"/>
      <c r="O21" s="21"/>
      <c r="P21" s="24"/>
      <c r="Q21" s="24">
        <f t="shared" si="2"/>
        <v>0</v>
      </c>
      <c r="S21" s="19"/>
      <c r="T21" s="20"/>
      <c r="U21" s="21"/>
      <c r="V21" s="24"/>
      <c r="W21" s="24"/>
    </row>
    <row r="22" spans="1:23" ht="12" x14ac:dyDescent="0.25">
      <c r="A22" s="19"/>
      <c r="B22" s="10"/>
      <c r="C22" s="11"/>
      <c r="D22" s="12"/>
      <c r="E22" s="23">
        <f t="shared" si="6"/>
        <v>0</v>
      </c>
      <c r="G22" s="19"/>
      <c r="H22" s="20"/>
      <c r="I22" s="21"/>
      <c r="J22" s="24"/>
      <c r="K22" s="24"/>
      <c r="M22" s="19"/>
      <c r="N22" s="20"/>
      <c r="O22" s="21"/>
      <c r="P22" s="24"/>
      <c r="Q22" s="24">
        <f t="shared" si="2"/>
        <v>0</v>
      </c>
      <c r="S22" s="19"/>
      <c r="T22" s="20"/>
      <c r="U22" s="21"/>
      <c r="V22" s="24"/>
      <c r="W22" s="24"/>
    </row>
    <row r="23" spans="1:23" ht="12" x14ac:dyDescent="0.25">
      <c r="A23" s="19"/>
      <c r="B23" s="10"/>
      <c r="C23" s="11"/>
      <c r="D23" s="12"/>
      <c r="E23" s="23">
        <f t="shared" si="6"/>
        <v>0</v>
      </c>
      <c r="G23" s="19"/>
      <c r="H23" s="20"/>
      <c r="I23" s="21"/>
      <c r="J23" s="24"/>
      <c r="K23" s="24"/>
      <c r="M23" s="19"/>
      <c r="N23" s="20"/>
      <c r="O23" s="21"/>
      <c r="P23" s="24"/>
      <c r="Q23" s="24">
        <f t="shared" si="2"/>
        <v>0</v>
      </c>
      <c r="S23" s="19"/>
      <c r="T23" s="20"/>
      <c r="U23" s="21"/>
      <c r="V23" s="24"/>
      <c r="W23" s="24"/>
    </row>
    <row r="24" spans="1:23" ht="12" x14ac:dyDescent="0.25">
      <c r="A24" s="19"/>
      <c r="B24" s="10"/>
      <c r="C24" s="11"/>
      <c r="D24" s="12"/>
      <c r="E24" s="23">
        <f t="shared" si="6"/>
        <v>0</v>
      </c>
      <c r="G24" s="19"/>
      <c r="H24" s="20"/>
      <c r="I24" s="21"/>
      <c r="J24" s="24"/>
      <c r="K24" s="24"/>
      <c r="M24" s="19"/>
      <c r="N24" s="20"/>
      <c r="O24" s="21"/>
      <c r="P24" s="24"/>
      <c r="Q24" s="24">
        <f t="shared" si="2"/>
        <v>0</v>
      </c>
      <c r="S24" s="19"/>
      <c r="T24" s="20"/>
      <c r="U24" s="21"/>
      <c r="V24" s="24"/>
      <c r="W24" s="24"/>
    </row>
    <row r="25" spans="1:23" ht="12" x14ac:dyDescent="0.25">
      <c r="A25" s="19"/>
      <c r="B25" s="10"/>
      <c r="C25" s="11"/>
      <c r="D25" s="12"/>
      <c r="E25" s="23">
        <f t="shared" si="6"/>
        <v>0</v>
      </c>
      <c r="G25" s="19"/>
      <c r="H25" s="20"/>
      <c r="I25" s="21"/>
      <c r="J25" s="24"/>
      <c r="K25" s="24"/>
      <c r="M25" s="19"/>
      <c r="N25" s="20"/>
      <c r="O25" s="21"/>
      <c r="P25" s="24"/>
      <c r="Q25" s="24">
        <f t="shared" si="2"/>
        <v>0</v>
      </c>
      <c r="S25" s="19"/>
      <c r="T25" s="20"/>
      <c r="U25" s="21"/>
      <c r="V25" s="24"/>
      <c r="W25" s="24"/>
    </row>
    <row r="26" spans="1:23" ht="12" x14ac:dyDescent="0.25">
      <c r="A26" s="19"/>
      <c r="B26" s="10"/>
      <c r="C26" s="21"/>
      <c r="D26" s="22"/>
      <c r="E26" s="23">
        <f t="shared" si="6"/>
        <v>0</v>
      </c>
      <c r="G26" s="19"/>
      <c r="H26" s="20"/>
      <c r="I26" s="21"/>
      <c r="J26" s="24"/>
      <c r="K26" s="24">
        <f t="shared" si="5"/>
        <v>0</v>
      </c>
      <c r="M26" s="19"/>
      <c r="N26" s="20"/>
      <c r="O26" s="21"/>
      <c r="P26" s="24"/>
      <c r="Q26" s="24">
        <f t="shared" si="2"/>
        <v>0</v>
      </c>
      <c r="S26" s="19"/>
      <c r="T26" s="10"/>
      <c r="U26" s="21"/>
      <c r="V26" s="24"/>
      <c r="W26" s="24">
        <f t="shared" si="4"/>
        <v>0</v>
      </c>
    </row>
    <row r="27" spans="1:23" x14ac:dyDescent="0.2">
      <c r="A27" s="19"/>
      <c r="B27" s="20"/>
      <c r="C27" s="21"/>
      <c r="D27" s="24"/>
      <c r="E27" s="23">
        <f t="shared" si="6"/>
        <v>0</v>
      </c>
      <c r="G27" s="19"/>
      <c r="H27" s="20"/>
      <c r="I27" s="21"/>
      <c r="J27" s="24"/>
      <c r="K27" s="24">
        <f t="shared" si="5"/>
        <v>0</v>
      </c>
      <c r="M27" s="19"/>
      <c r="N27" s="20"/>
      <c r="O27" s="21"/>
      <c r="P27" s="24"/>
      <c r="Q27" s="24">
        <f t="shared" si="2"/>
        <v>0</v>
      </c>
      <c r="S27" s="19"/>
      <c r="T27" s="20"/>
      <c r="U27" s="21"/>
      <c r="V27" s="24"/>
      <c r="W27" s="24">
        <f t="shared" si="4"/>
        <v>0</v>
      </c>
    </row>
    <row r="28" spans="1:23" x14ac:dyDescent="0.2">
      <c r="E28" s="26">
        <f>SUM(E5:E27)</f>
        <v>39170000</v>
      </c>
      <c r="K28" s="26">
        <f>SUM(K5:K27)</f>
        <v>8000000</v>
      </c>
      <c r="Q28" s="26">
        <f>SUM(Q5:Q27)</f>
        <v>0</v>
      </c>
      <c r="V28" s="26"/>
      <c r="W28" s="26">
        <f>SUM(W5:W27)</f>
        <v>15290000</v>
      </c>
    </row>
  </sheetData>
  <mergeCells count="21">
    <mergeCell ref="A1:Q2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G3:G4"/>
    <mergeCell ref="M3:M4"/>
    <mergeCell ref="N3:N4"/>
    <mergeCell ref="O3:O4"/>
    <mergeCell ref="P3:P4"/>
    <mergeCell ref="Q3:Q4"/>
    <mergeCell ref="S3:S4"/>
    <mergeCell ref="T3:T4"/>
    <mergeCell ref="U3:U4"/>
    <mergeCell ref="V3:V4"/>
    <mergeCell ref="W3:W4"/>
  </mergeCells>
  <phoneticPr fontId="4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topLeftCell="B1" workbookViewId="0">
      <selection activeCell="G9" sqref="G9"/>
    </sheetView>
  </sheetViews>
  <sheetFormatPr defaultColWidth="8.88671875" defaultRowHeight="10.199999999999999" x14ac:dyDescent="0.2"/>
  <cols>
    <col min="1" max="1" width="8.109375" style="18" bestFit="1" customWidth="1"/>
    <col min="2" max="2" width="17.5546875" style="18" customWidth="1"/>
    <col min="3" max="3" width="5.44140625" style="18" bestFit="1" customWidth="1"/>
    <col min="4" max="4" width="6.6640625" style="26" bestFit="1" customWidth="1"/>
    <col min="5" max="5" width="7.77734375" style="26" bestFit="1" customWidth="1"/>
    <col min="6" max="6" width="2.88671875" style="18" customWidth="1"/>
    <col min="7" max="7" width="8.109375" style="18" bestFit="1" customWidth="1"/>
    <col min="8" max="8" width="19.33203125" style="18" bestFit="1" customWidth="1"/>
    <col min="9" max="9" width="6.21875" style="18" bestFit="1" customWidth="1"/>
    <col min="10" max="10" width="8.21875" style="26" bestFit="1" customWidth="1"/>
    <col min="11" max="11" width="8.5546875" style="26" bestFit="1" customWidth="1"/>
    <col min="12" max="12" width="2.5546875" style="18" customWidth="1"/>
    <col min="13" max="13" width="8.109375" style="18" bestFit="1" customWidth="1"/>
    <col min="14" max="14" width="21.21875" style="18" bestFit="1" customWidth="1"/>
    <col min="15" max="15" width="6.21875" style="18" bestFit="1" customWidth="1"/>
    <col min="16" max="16" width="7" style="26" bestFit="1" customWidth="1"/>
    <col min="17" max="17" width="8.5546875" style="18" bestFit="1" customWidth="1"/>
    <col min="18" max="18" width="2.77734375" style="18" customWidth="1"/>
    <col min="19" max="19" width="8.88671875" style="18"/>
    <col min="20" max="20" width="21.33203125" style="18" bestFit="1" customWidth="1"/>
    <col min="21" max="16384" width="8.88671875" style="18"/>
  </cols>
  <sheetData>
    <row r="1" spans="1:23" x14ac:dyDescent="0.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23" ht="12" customHeight="1" x14ac:dyDescent="0.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23" x14ac:dyDescent="0.2">
      <c r="A3" s="35" t="s">
        <v>0</v>
      </c>
      <c r="B3" s="35" t="s">
        <v>5</v>
      </c>
      <c r="C3" s="35" t="s">
        <v>4</v>
      </c>
      <c r="D3" s="37" t="s">
        <v>2</v>
      </c>
      <c r="E3" s="37" t="s">
        <v>3</v>
      </c>
      <c r="G3" s="35" t="s">
        <v>0</v>
      </c>
      <c r="H3" s="35" t="s">
        <v>12</v>
      </c>
      <c r="I3" s="35" t="s">
        <v>4</v>
      </c>
      <c r="J3" s="37" t="s">
        <v>2</v>
      </c>
      <c r="K3" s="37" t="s">
        <v>3</v>
      </c>
      <c r="M3" s="35" t="s">
        <v>0</v>
      </c>
      <c r="N3" s="35" t="s">
        <v>15</v>
      </c>
      <c r="O3" s="35" t="s">
        <v>4</v>
      </c>
      <c r="P3" s="37" t="s">
        <v>2</v>
      </c>
      <c r="Q3" s="35" t="s">
        <v>3</v>
      </c>
      <c r="S3" s="35" t="s">
        <v>0</v>
      </c>
      <c r="T3" s="35" t="s">
        <v>21</v>
      </c>
      <c r="U3" s="35" t="s">
        <v>4</v>
      </c>
      <c r="V3" s="37" t="s">
        <v>2</v>
      </c>
      <c r="W3" s="35" t="s">
        <v>3</v>
      </c>
    </row>
    <row r="4" spans="1:23" x14ac:dyDescent="0.2">
      <c r="A4" s="36"/>
      <c r="B4" s="36"/>
      <c r="C4" s="36"/>
      <c r="D4" s="38"/>
      <c r="E4" s="38"/>
      <c r="G4" s="36"/>
      <c r="H4" s="36"/>
      <c r="I4" s="36"/>
      <c r="J4" s="38"/>
      <c r="K4" s="38"/>
      <c r="M4" s="36"/>
      <c r="N4" s="36"/>
      <c r="O4" s="36"/>
      <c r="P4" s="38"/>
      <c r="Q4" s="36"/>
      <c r="S4" s="36"/>
      <c r="T4" s="36"/>
      <c r="U4" s="36"/>
      <c r="V4" s="38"/>
      <c r="W4" s="36"/>
    </row>
    <row r="5" spans="1:23" ht="12" x14ac:dyDescent="0.25">
      <c r="A5" s="27"/>
      <c r="B5" s="10"/>
      <c r="C5" s="11"/>
      <c r="D5" s="22"/>
      <c r="E5" s="24">
        <f t="shared" ref="E5:E17" si="0">C5*D5</f>
        <v>0</v>
      </c>
      <c r="G5" s="19">
        <v>45941</v>
      </c>
      <c r="H5" s="10" t="s">
        <v>43</v>
      </c>
      <c r="I5" s="11">
        <v>20</v>
      </c>
      <c r="J5" s="31">
        <v>65000</v>
      </c>
      <c r="K5" s="24">
        <f t="shared" ref="K5:K17" si="1">I5*J5</f>
        <v>1300000</v>
      </c>
      <c r="M5" s="27"/>
      <c r="N5" s="10"/>
      <c r="O5" s="11"/>
      <c r="P5" s="12"/>
      <c r="Q5" s="24">
        <f t="shared" ref="Q5:Q17" si="2">O5*P5</f>
        <v>0</v>
      </c>
      <c r="S5" s="27">
        <v>45950</v>
      </c>
      <c r="T5" s="10" t="s">
        <v>40</v>
      </c>
      <c r="U5" s="11">
        <v>50</v>
      </c>
      <c r="V5" s="12">
        <v>165000</v>
      </c>
      <c r="W5" s="24">
        <f t="shared" ref="W5:W17" si="3">U5*V5</f>
        <v>8250000</v>
      </c>
    </row>
    <row r="6" spans="1:23" ht="12" x14ac:dyDescent="0.25">
      <c r="A6" s="27"/>
      <c r="B6" s="20"/>
      <c r="C6" s="21"/>
      <c r="D6" s="22"/>
      <c r="E6" s="24">
        <f t="shared" si="0"/>
        <v>0</v>
      </c>
      <c r="G6" s="19">
        <v>45984</v>
      </c>
      <c r="H6" s="10" t="s">
        <v>56</v>
      </c>
      <c r="I6" s="11">
        <v>1</v>
      </c>
      <c r="J6" s="31">
        <v>8000000</v>
      </c>
      <c r="K6" s="24">
        <f t="shared" si="1"/>
        <v>8000000</v>
      </c>
      <c r="M6" s="27"/>
      <c r="N6" s="10"/>
      <c r="O6" s="11"/>
      <c r="P6" s="12"/>
      <c r="Q6" s="24">
        <f t="shared" si="2"/>
        <v>0</v>
      </c>
      <c r="S6" s="27"/>
      <c r="T6" s="10"/>
      <c r="U6" s="11"/>
      <c r="V6" s="12"/>
      <c r="W6" s="24">
        <f t="shared" ref="W6:W8" si="4">U6*V6</f>
        <v>0</v>
      </c>
    </row>
    <row r="7" spans="1:23" ht="12" x14ac:dyDescent="0.25">
      <c r="A7" s="19"/>
      <c r="B7" s="20"/>
      <c r="C7" s="21"/>
      <c r="D7" s="22"/>
      <c r="E7" s="24">
        <f t="shared" si="0"/>
        <v>0</v>
      </c>
      <c r="G7" s="19">
        <v>45985</v>
      </c>
      <c r="H7" s="10" t="s">
        <v>40</v>
      </c>
      <c r="I7" s="11">
        <v>30</v>
      </c>
      <c r="J7" s="31">
        <v>180000</v>
      </c>
      <c r="K7" s="24">
        <f t="shared" si="1"/>
        <v>5400000</v>
      </c>
      <c r="M7" s="27"/>
      <c r="N7" s="10"/>
      <c r="O7" s="11"/>
      <c r="P7" s="12"/>
      <c r="Q7" s="24">
        <f t="shared" si="2"/>
        <v>0</v>
      </c>
      <c r="S7" s="27"/>
      <c r="T7" s="10"/>
      <c r="U7" s="11"/>
      <c r="V7" s="12"/>
      <c r="W7" s="24">
        <f t="shared" si="4"/>
        <v>0</v>
      </c>
    </row>
    <row r="8" spans="1:23" ht="12" x14ac:dyDescent="0.25">
      <c r="A8" s="27"/>
      <c r="B8" s="20"/>
      <c r="C8" s="21"/>
      <c r="D8" s="22"/>
      <c r="E8" s="24">
        <f t="shared" si="0"/>
        <v>0</v>
      </c>
      <c r="G8" s="27"/>
      <c r="H8" s="10"/>
      <c r="I8" s="11"/>
      <c r="J8" s="12"/>
      <c r="K8" s="24">
        <f t="shared" si="1"/>
        <v>0</v>
      </c>
      <c r="M8" s="27"/>
      <c r="N8" s="10"/>
      <c r="O8" s="11"/>
      <c r="P8" s="12"/>
      <c r="Q8" s="24">
        <f t="shared" si="2"/>
        <v>0</v>
      </c>
      <c r="S8" s="27"/>
      <c r="T8" s="10"/>
      <c r="U8" s="11"/>
      <c r="V8" s="12"/>
      <c r="W8" s="24">
        <f t="shared" si="4"/>
        <v>0</v>
      </c>
    </row>
    <row r="9" spans="1:23" ht="12" x14ac:dyDescent="0.25">
      <c r="A9" s="19"/>
      <c r="B9" s="20"/>
      <c r="C9" s="21"/>
      <c r="D9" s="22"/>
      <c r="E9" s="24">
        <f t="shared" si="0"/>
        <v>0</v>
      </c>
      <c r="G9" s="27"/>
      <c r="H9" s="20"/>
      <c r="I9" s="21"/>
      <c r="J9" s="22"/>
      <c r="K9" s="24">
        <f t="shared" si="1"/>
        <v>0</v>
      </c>
      <c r="M9" s="27"/>
      <c r="N9" s="10"/>
      <c r="O9" s="11"/>
      <c r="P9" s="12"/>
      <c r="Q9" s="24">
        <f t="shared" si="2"/>
        <v>0</v>
      </c>
      <c r="S9" s="27"/>
      <c r="T9" s="10"/>
      <c r="U9" s="11"/>
      <c r="V9" s="12"/>
      <c r="W9" s="24">
        <f t="shared" si="3"/>
        <v>0</v>
      </c>
    </row>
    <row r="10" spans="1:23" ht="12" x14ac:dyDescent="0.25">
      <c r="A10" s="19"/>
      <c r="B10" s="20"/>
      <c r="C10" s="21"/>
      <c r="D10" s="22"/>
      <c r="E10" s="24">
        <f t="shared" si="0"/>
        <v>0</v>
      </c>
      <c r="G10" s="27"/>
      <c r="H10" s="10"/>
      <c r="I10" s="28"/>
      <c r="J10" s="24"/>
      <c r="K10" s="24">
        <f t="shared" si="1"/>
        <v>0</v>
      </c>
      <c r="M10" s="27"/>
      <c r="N10" s="10"/>
      <c r="O10" s="11"/>
      <c r="P10" s="12"/>
      <c r="Q10" s="24">
        <f t="shared" si="2"/>
        <v>0</v>
      </c>
      <c r="S10" s="27"/>
      <c r="T10" s="10"/>
      <c r="U10" s="11"/>
      <c r="V10" s="12"/>
      <c r="W10" s="24">
        <f t="shared" si="3"/>
        <v>0</v>
      </c>
    </row>
    <row r="11" spans="1:23" ht="12" x14ac:dyDescent="0.25">
      <c r="A11" s="19"/>
      <c r="B11" s="20"/>
      <c r="C11" s="21"/>
      <c r="D11" s="22"/>
      <c r="E11" s="24">
        <f t="shared" si="0"/>
        <v>0</v>
      </c>
      <c r="G11" s="27"/>
      <c r="H11" s="20"/>
      <c r="I11" s="28"/>
      <c r="J11" s="24"/>
      <c r="K11" s="24">
        <f t="shared" si="1"/>
        <v>0</v>
      </c>
      <c r="M11" s="27"/>
      <c r="N11" s="10"/>
      <c r="O11" s="11"/>
      <c r="P11" s="12"/>
      <c r="Q11" s="24">
        <f t="shared" si="2"/>
        <v>0</v>
      </c>
      <c r="S11" s="27"/>
      <c r="T11" s="20"/>
      <c r="U11" s="21"/>
      <c r="V11" s="22"/>
      <c r="W11" s="24">
        <f t="shared" si="3"/>
        <v>0</v>
      </c>
    </row>
    <row r="12" spans="1:23" ht="12" x14ac:dyDescent="0.25">
      <c r="A12" s="19"/>
      <c r="B12" s="20"/>
      <c r="C12" s="21"/>
      <c r="D12" s="22"/>
      <c r="E12" s="24">
        <f t="shared" si="0"/>
        <v>0</v>
      </c>
      <c r="G12" s="27"/>
      <c r="H12" s="10"/>
      <c r="I12" s="29"/>
      <c r="J12" s="24"/>
      <c r="K12" s="24">
        <f t="shared" si="1"/>
        <v>0</v>
      </c>
      <c r="M12" s="27"/>
      <c r="N12" s="10"/>
      <c r="O12" s="11"/>
      <c r="P12" s="12"/>
      <c r="Q12" s="24">
        <f t="shared" si="2"/>
        <v>0</v>
      </c>
      <c r="S12" s="27"/>
      <c r="T12" s="20"/>
      <c r="U12" s="21"/>
      <c r="V12" s="22"/>
      <c r="W12" s="24">
        <f t="shared" si="3"/>
        <v>0</v>
      </c>
    </row>
    <row r="13" spans="1:23" x14ac:dyDescent="0.2">
      <c r="A13" s="19"/>
      <c r="B13" s="20"/>
      <c r="C13" s="21"/>
      <c r="D13" s="22"/>
      <c r="E13" s="24">
        <f t="shared" si="0"/>
        <v>0</v>
      </c>
      <c r="G13" s="27"/>
      <c r="H13" s="20"/>
      <c r="I13" s="29"/>
      <c r="J13" s="24"/>
      <c r="K13" s="24">
        <f t="shared" si="1"/>
        <v>0</v>
      </c>
      <c r="M13" s="27"/>
      <c r="N13" s="20"/>
      <c r="O13" s="21"/>
      <c r="P13" s="22"/>
      <c r="Q13" s="24">
        <f t="shared" si="2"/>
        <v>0</v>
      </c>
      <c r="S13" s="27"/>
      <c r="T13" s="20"/>
      <c r="U13" s="21"/>
      <c r="V13" s="22"/>
      <c r="W13" s="24">
        <f t="shared" si="3"/>
        <v>0</v>
      </c>
    </row>
    <row r="14" spans="1:23" x14ac:dyDescent="0.2">
      <c r="A14" s="19"/>
      <c r="B14" s="20"/>
      <c r="C14" s="21"/>
      <c r="D14" s="22"/>
      <c r="E14" s="24">
        <f t="shared" si="0"/>
        <v>0</v>
      </c>
      <c r="G14" s="27"/>
      <c r="H14" s="20"/>
      <c r="I14" s="29"/>
      <c r="J14" s="24"/>
      <c r="K14" s="24">
        <f t="shared" si="1"/>
        <v>0</v>
      </c>
      <c r="M14" s="27"/>
      <c r="N14" s="20"/>
      <c r="O14" s="21"/>
      <c r="P14" s="22"/>
      <c r="Q14" s="24">
        <f t="shared" si="2"/>
        <v>0</v>
      </c>
      <c r="S14" s="27"/>
      <c r="T14" s="20"/>
      <c r="U14" s="21"/>
      <c r="V14" s="22"/>
      <c r="W14" s="24">
        <f t="shared" si="3"/>
        <v>0</v>
      </c>
    </row>
    <row r="15" spans="1:23" x14ac:dyDescent="0.2">
      <c r="A15" s="19"/>
      <c r="B15" s="20"/>
      <c r="C15" s="21"/>
      <c r="D15" s="22"/>
      <c r="E15" s="24">
        <f t="shared" si="0"/>
        <v>0</v>
      </c>
      <c r="G15" s="27"/>
      <c r="H15" s="20"/>
      <c r="I15" s="29"/>
      <c r="J15" s="24"/>
      <c r="K15" s="24">
        <f t="shared" si="1"/>
        <v>0</v>
      </c>
      <c r="M15" s="27"/>
      <c r="N15" s="20"/>
      <c r="O15" s="21"/>
      <c r="P15" s="22"/>
      <c r="Q15" s="24">
        <f t="shared" si="2"/>
        <v>0</v>
      </c>
      <c r="S15" s="27"/>
      <c r="T15" s="20"/>
      <c r="U15" s="21"/>
      <c r="V15" s="22"/>
      <c r="W15" s="24">
        <f t="shared" si="3"/>
        <v>0</v>
      </c>
    </row>
    <row r="16" spans="1:23" x14ac:dyDescent="0.2">
      <c r="A16" s="19"/>
      <c r="B16" s="20"/>
      <c r="C16" s="21"/>
      <c r="D16" s="22"/>
      <c r="E16" s="24">
        <f t="shared" si="0"/>
        <v>0</v>
      </c>
      <c r="G16" s="27"/>
      <c r="H16" s="20"/>
      <c r="I16" s="29"/>
      <c r="J16" s="24"/>
      <c r="K16" s="24">
        <f t="shared" si="1"/>
        <v>0</v>
      </c>
      <c r="M16" s="27"/>
      <c r="N16" s="20"/>
      <c r="O16" s="21"/>
      <c r="P16" s="22"/>
      <c r="Q16" s="24">
        <f t="shared" si="2"/>
        <v>0</v>
      </c>
      <c r="S16" s="27"/>
      <c r="T16" s="20"/>
      <c r="U16" s="21"/>
      <c r="V16" s="22"/>
      <c r="W16" s="24">
        <f t="shared" si="3"/>
        <v>0</v>
      </c>
    </row>
    <row r="17" spans="1:23" x14ac:dyDescent="0.2">
      <c r="A17" s="19"/>
      <c r="B17" s="20"/>
      <c r="C17" s="21"/>
      <c r="D17" s="22"/>
      <c r="E17" s="24">
        <f t="shared" si="0"/>
        <v>0</v>
      </c>
      <c r="G17" s="29"/>
      <c r="H17" s="29"/>
      <c r="I17" s="29"/>
      <c r="J17" s="24"/>
      <c r="K17" s="24">
        <f t="shared" si="1"/>
        <v>0</v>
      </c>
      <c r="M17" s="29"/>
      <c r="N17" s="29"/>
      <c r="O17" s="29"/>
      <c r="P17" s="24"/>
      <c r="Q17" s="24">
        <f t="shared" si="2"/>
        <v>0</v>
      </c>
      <c r="S17" s="29"/>
      <c r="T17" s="29"/>
      <c r="U17" s="29"/>
      <c r="V17" s="24"/>
      <c r="W17" s="24">
        <f t="shared" si="3"/>
        <v>0</v>
      </c>
    </row>
    <row r="18" spans="1:23" x14ac:dyDescent="0.2">
      <c r="E18" s="26">
        <f>SUM(E5:E17)</f>
        <v>0</v>
      </c>
      <c r="K18" s="26">
        <f>SUM(K5:K17)</f>
        <v>14700000</v>
      </c>
      <c r="Q18" s="26">
        <f>SUM(Q5:Q17)</f>
        <v>0</v>
      </c>
      <c r="V18" s="26"/>
      <c r="W18" s="26">
        <f>SUM(W5:W17)</f>
        <v>8250000</v>
      </c>
    </row>
    <row r="19" spans="1:23" x14ac:dyDescent="0.2">
      <c r="Q19" s="26"/>
    </row>
    <row r="20" spans="1:23" x14ac:dyDescent="0.2">
      <c r="Q20" s="32"/>
    </row>
    <row r="21" spans="1:23" x14ac:dyDescent="0.2">
      <c r="Q21" s="26"/>
    </row>
    <row r="23" spans="1:23" x14ac:dyDescent="0.2">
      <c r="Q23" s="32"/>
    </row>
  </sheetData>
  <mergeCells count="21">
    <mergeCell ref="A1:Q2"/>
    <mergeCell ref="K3:K4"/>
    <mergeCell ref="B3:B4"/>
    <mergeCell ref="C3:C4"/>
    <mergeCell ref="A3:A4"/>
    <mergeCell ref="G3:G4"/>
    <mergeCell ref="H3:H4"/>
    <mergeCell ref="I3:I4"/>
    <mergeCell ref="D3:D4"/>
    <mergeCell ref="E3:E4"/>
    <mergeCell ref="J3:J4"/>
    <mergeCell ref="M3:M4"/>
    <mergeCell ref="N3:N4"/>
    <mergeCell ref="O3:O4"/>
    <mergeCell ref="P3:P4"/>
    <mergeCell ref="Q3:Q4"/>
    <mergeCell ref="S3:S4"/>
    <mergeCell ref="T3:T4"/>
    <mergeCell ref="U3:U4"/>
    <mergeCell ref="V3:V4"/>
    <mergeCell ref="W3:W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8"/>
  <sheetViews>
    <sheetView workbookViewId="0">
      <selection activeCell="G22" sqref="G22"/>
    </sheetView>
  </sheetViews>
  <sheetFormatPr defaultColWidth="8.88671875" defaultRowHeight="12" x14ac:dyDescent="0.25"/>
  <cols>
    <col min="1" max="1" width="10.109375" style="1" bestFit="1" customWidth="1"/>
    <col min="2" max="2" width="25.88671875" style="1" bestFit="1" customWidth="1"/>
    <col min="3" max="3" width="8.88671875" style="14"/>
    <col min="4" max="4" width="9.88671875" style="5" bestFit="1" customWidth="1"/>
    <col min="5" max="5" width="9.88671875" style="1" bestFit="1" customWidth="1"/>
    <col min="6" max="6" width="2.88671875" style="1" customWidth="1"/>
    <col min="7" max="7" width="10.6640625" style="1" bestFit="1" customWidth="1"/>
    <col min="8" max="8" width="27.5546875" style="1" bestFit="1" customWidth="1"/>
    <col min="9" max="9" width="9.88671875" style="1" bestFit="1" customWidth="1"/>
    <col min="10" max="10" width="8.88671875" style="5"/>
    <col min="11" max="11" width="9.88671875" style="5" bestFit="1" customWidth="1"/>
    <col min="12" max="12" width="2.5546875" style="1" customWidth="1"/>
    <col min="13" max="13" width="9.33203125" style="1" bestFit="1" customWidth="1"/>
    <col min="14" max="14" width="17" style="1" bestFit="1" customWidth="1"/>
    <col min="15" max="16384" width="8.88671875" style="1"/>
  </cols>
  <sheetData>
    <row r="1" spans="1:17" ht="12" customHeight="1" x14ac:dyDescent="0.25">
      <c r="A1" s="42">
        <v>44805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12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x14ac:dyDescent="0.25">
      <c r="A3" s="43" t="s">
        <v>0</v>
      </c>
      <c r="B3" s="43" t="s">
        <v>9</v>
      </c>
      <c r="C3" s="47" t="s">
        <v>4</v>
      </c>
      <c r="D3" s="45" t="s">
        <v>2</v>
      </c>
      <c r="E3" s="43" t="s">
        <v>3</v>
      </c>
      <c r="G3" s="43" t="s">
        <v>0</v>
      </c>
      <c r="H3" s="43" t="s">
        <v>10</v>
      </c>
      <c r="I3" s="43" t="s">
        <v>4</v>
      </c>
      <c r="J3" s="45" t="s">
        <v>2</v>
      </c>
      <c r="K3" s="45" t="s">
        <v>3</v>
      </c>
      <c r="M3" s="43" t="s">
        <v>0</v>
      </c>
      <c r="N3" s="43" t="s">
        <v>11</v>
      </c>
      <c r="O3" s="43" t="s">
        <v>4</v>
      </c>
      <c r="P3" s="43" t="s">
        <v>2</v>
      </c>
      <c r="Q3" s="43" t="s">
        <v>3</v>
      </c>
    </row>
    <row r="4" spans="1:17" x14ac:dyDescent="0.25">
      <c r="A4" s="44"/>
      <c r="B4" s="44"/>
      <c r="C4" s="48"/>
      <c r="D4" s="46"/>
      <c r="E4" s="44"/>
      <c r="G4" s="44"/>
      <c r="H4" s="44"/>
      <c r="I4" s="44"/>
      <c r="J4" s="46"/>
      <c r="K4" s="46"/>
      <c r="M4" s="44"/>
      <c r="N4" s="44"/>
      <c r="O4" s="44"/>
      <c r="P4" s="44"/>
      <c r="Q4" s="44"/>
    </row>
    <row r="5" spans="1:17" x14ac:dyDescent="0.25">
      <c r="A5" s="13"/>
      <c r="B5" s="10"/>
      <c r="C5" s="11"/>
      <c r="D5" s="12"/>
      <c r="E5" s="4">
        <f t="shared" ref="E5:E25" si="0">C5*D5</f>
        <v>0</v>
      </c>
      <c r="G5" s="13">
        <v>45936</v>
      </c>
      <c r="H5" s="10" t="s">
        <v>26</v>
      </c>
      <c r="I5" s="11">
        <v>1</v>
      </c>
      <c r="J5" s="12">
        <v>10588000</v>
      </c>
      <c r="K5" s="9">
        <f t="shared" ref="K5:K12" si="1">I5*J5</f>
        <v>10588000</v>
      </c>
      <c r="M5" s="2"/>
      <c r="N5" s="2"/>
      <c r="O5" s="2"/>
      <c r="P5" s="2"/>
      <c r="Q5" s="4">
        <f t="shared" ref="Q5:Q24" si="2">O5*P5</f>
        <v>0</v>
      </c>
    </row>
    <row r="6" spans="1:17" x14ac:dyDescent="0.25">
      <c r="A6" s="13"/>
      <c r="B6" s="10"/>
      <c r="C6" s="11"/>
      <c r="D6" s="12"/>
      <c r="E6" s="4">
        <f t="shared" si="0"/>
        <v>0</v>
      </c>
      <c r="G6" s="13">
        <v>45937</v>
      </c>
      <c r="H6" s="10" t="s">
        <v>29</v>
      </c>
      <c r="I6" s="11">
        <v>11</v>
      </c>
      <c r="J6" s="12">
        <v>360000</v>
      </c>
      <c r="K6" s="9">
        <f t="shared" si="1"/>
        <v>3960000</v>
      </c>
      <c r="M6" s="2"/>
      <c r="N6" s="2"/>
      <c r="O6" s="2"/>
      <c r="P6" s="2"/>
      <c r="Q6" s="4">
        <f t="shared" si="2"/>
        <v>0</v>
      </c>
    </row>
    <row r="7" spans="1:17" x14ac:dyDescent="0.25">
      <c r="A7" s="3"/>
      <c r="B7" s="10"/>
      <c r="C7" s="11"/>
      <c r="D7" s="12"/>
      <c r="E7" s="4">
        <f t="shared" si="0"/>
        <v>0</v>
      </c>
      <c r="G7" s="13">
        <v>45938</v>
      </c>
      <c r="H7" s="10" t="s">
        <v>28</v>
      </c>
      <c r="I7" s="11">
        <v>125</v>
      </c>
      <c r="J7" s="12">
        <v>18000</v>
      </c>
      <c r="K7" s="9">
        <f t="shared" si="1"/>
        <v>2250000</v>
      </c>
      <c r="M7" s="2"/>
      <c r="N7" s="2"/>
      <c r="O7" s="2"/>
      <c r="P7" s="2"/>
      <c r="Q7" s="4">
        <f t="shared" si="2"/>
        <v>0</v>
      </c>
    </row>
    <row r="8" spans="1:17" x14ac:dyDescent="0.25">
      <c r="A8" s="3"/>
      <c r="B8" s="10"/>
      <c r="C8" s="11"/>
      <c r="D8" s="12"/>
      <c r="E8" s="4">
        <f t="shared" si="0"/>
        <v>0</v>
      </c>
      <c r="G8" s="13">
        <v>45941</v>
      </c>
      <c r="H8" s="10" t="s">
        <v>30</v>
      </c>
      <c r="I8" s="11">
        <v>8</v>
      </c>
      <c r="J8" s="12">
        <v>250000</v>
      </c>
      <c r="K8" s="9">
        <f t="shared" si="1"/>
        <v>2000000</v>
      </c>
      <c r="M8" s="2"/>
      <c r="N8" s="2"/>
      <c r="O8" s="2"/>
      <c r="P8" s="2"/>
      <c r="Q8" s="4">
        <f t="shared" si="2"/>
        <v>0</v>
      </c>
    </row>
    <row r="9" spans="1:17" x14ac:dyDescent="0.25">
      <c r="A9" s="3"/>
      <c r="B9" s="10"/>
      <c r="C9" s="11"/>
      <c r="D9" s="12"/>
      <c r="E9" s="4">
        <f t="shared" si="0"/>
        <v>0</v>
      </c>
      <c r="G9" s="13">
        <v>45941</v>
      </c>
      <c r="H9" s="10" t="s">
        <v>30</v>
      </c>
      <c r="I9" s="11">
        <f>50/12</f>
        <v>4.166666666666667</v>
      </c>
      <c r="J9" s="12">
        <f>20800*12</f>
        <v>249600</v>
      </c>
      <c r="K9" s="9">
        <f t="shared" si="1"/>
        <v>1040000.0000000001</v>
      </c>
      <c r="M9" s="2"/>
      <c r="N9" s="2"/>
      <c r="O9" s="2"/>
      <c r="P9" s="2"/>
      <c r="Q9" s="4">
        <f t="shared" si="2"/>
        <v>0</v>
      </c>
    </row>
    <row r="10" spans="1:17" x14ac:dyDescent="0.25">
      <c r="A10" s="2"/>
      <c r="B10" s="2"/>
      <c r="C10" s="16"/>
      <c r="D10" s="4"/>
      <c r="E10" s="4">
        <f t="shared" si="0"/>
        <v>0</v>
      </c>
      <c r="G10" s="13">
        <v>45941</v>
      </c>
      <c r="H10" s="10" t="s">
        <v>31</v>
      </c>
      <c r="I10" s="11">
        <v>6</v>
      </c>
      <c r="J10" s="12">
        <v>255000</v>
      </c>
      <c r="K10" s="9">
        <f t="shared" si="1"/>
        <v>1530000</v>
      </c>
      <c r="M10" s="2"/>
      <c r="N10" s="2"/>
      <c r="O10" s="2"/>
      <c r="P10" s="2"/>
      <c r="Q10" s="4">
        <f t="shared" si="2"/>
        <v>0</v>
      </c>
    </row>
    <row r="11" spans="1:17" x14ac:dyDescent="0.25">
      <c r="A11" s="2"/>
      <c r="B11" s="2"/>
      <c r="C11" s="16"/>
      <c r="D11" s="4"/>
      <c r="E11" s="4">
        <f t="shared" si="0"/>
        <v>0</v>
      </c>
      <c r="G11" s="13">
        <v>45941</v>
      </c>
      <c r="H11" s="10" t="s">
        <v>32</v>
      </c>
      <c r="I11" s="11">
        <v>12</v>
      </c>
      <c r="J11" s="12">
        <v>12000</v>
      </c>
      <c r="K11" s="9">
        <f t="shared" si="1"/>
        <v>144000</v>
      </c>
      <c r="M11" s="2"/>
      <c r="N11" s="2"/>
      <c r="O11" s="2"/>
      <c r="P11" s="2"/>
      <c r="Q11" s="4">
        <f t="shared" si="2"/>
        <v>0</v>
      </c>
    </row>
    <row r="12" spans="1:17" x14ac:dyDescent="0.25">
      <c r="A12" s="2"/>
      <c r="B12" s="2"/>
      <c r="C12" s="16"/>
      <c r="D12" s="4"/>
      <c r="E12" s="4">
        <f t="shared" si="0"/>
        <v>0</v>
      </c>
      <c r="G12" s="3">
        <v>45943</v>
      </c>
      <c r="H12" s="10" t="s">
        <v>31</v>
      </c>
      <c r="I12" s="11">
        <f>30/5.5</f>
        <v>5.4545454545454541</v>
      </c>
      <c r="J12" s="12">
        <f>48000*5.5</f>
        <v>264000</v>
      </c>
      <c r="K12" s="9">
        <f t="shared" si="1"/>
        <v>1440000</v>
      </c>
      <c r="M12" s="2"/>
      <c r="N12" s="2"/>
      <c r="O12" s="2"/>
      <c r="P12" s="2"/>
      <c r="Q12" s="4">
        <f t="shared" si="2"/>
        <v>0</v>
      </c>
    </row>
    <row r="13" spans="1:17" x14ac:dyDescent="0.25">
      <c r="A13" s="2"/>
      <c r="B13" s="2"/>
      <c r="C13" s="16"/>
      <c r="D13" s="4"/>
      <c r="E13" s="4">
        <f t="shared" si="0"/>
        <v>0</v>
      </c>
      <c r="G13" s="3">
        <v>45948</v>
      </c>
      <c r="H13" s="10" t="s">
        <v>35</v>
      </c>
      <c r="I13" s="11">
        <v>29</v>
      </c>
      <c r="J13" s="12">
        <v>120000</v>
      </c>
      <c r="K13" s="9">
        <f>I13*J13</f>
        <v>3480000</v>
      </c>
      <c r="M13" s="2"/>
      <c r="N13" s="2"/>
      <c r="O13" s="2"/>
      <c r="P13" s="2"/>
      <c r="Q13" s="4">
        <f t="shared" si="2"/>
        <v>0</v>
      </c>
    </row>
    <row r="14" spans="1:17" x14ac:dyDescent="0.25">
      <c r="A14" s="2"/>
      <c r="B14" s="2"/>
      <c r="C14" s="16"/>
      <c r="D14" s="4"/>
      <c r="E14" s="4">
        <f t="shared" si="0"/>
        <v>0</v>
      </c>
      <c r="G14" s="3">
        <v>45958</v>
      </c>
      <c r="H14" s="10" t="s">
        <v>38</v>
      </c>
      <c r="I14" s="11">
        <f>14/11</f>
        <v>1.2727272727272727</v>
      </c>
      <c r="J14" s="12">
        <f>23000*11</f>
        <v>253000</v>
      </c>
      <c r="K14" s="9">
        <f>I14*J14</f>
        <v>322000</v>
      </c>
      <c r="M14" s="2"/>
      <c r="N14" s="2"/>
      <c r="O14" s="2"/>
      <c r="P14" s="2"/>
      <c r="Q14" s="4">
        <v>0</v>
      </c>
    </row>
    <row r="15" spans="1:17" x14ac:dyDescent="0.25">
      <c r="A15" s="2"/>
      <c r="B15" s="2"/>
      <c r="C15" s="16"/>
      <c r="D15" s="4"/>
      <c r="E15" s="4"/>
      <c r="G15" s="3">
        <v>45963</v>
      </c>
      <c r="H15" s="10" t="s">
        <v>44</v>
      </c>
      <c r="I15" s="11">
        <v>10</v>
      </c>
      <c r="J15" s="12">
        <v>255000</v>
      </c>
      <c r="K15" s="9">
        <f t="shared" ref="K15:K31" si="3">I15*J15</f>
        <v>2550000</v>
      </c>
      <c r="M15" s="2"/>
      <c r="N15" s="2"/>
      <c r="O15" s="2"/>
      <c r="P15" s="2"/>
      <c r="Q15" s="4"/>
    </row>
    <row r="16" spans="1:17" x14ac:dyDescent="0.25">
      <c r="A16" s="2"/>
      <c r="B16" s="2"/>
      <c r="C16" s="16"/>
      <c r="D16" s="4"/>
      <c r="E16" s="4"/>
      <c r="G16" s="3">
        <v>45971</v>
      </c>
      <c r="H16" s="10" t="s">
        <v>35</v>
      </c>
      <c r="I16" s="11">
        <v>13</v>
      </c>
      <c r="J16" s="12">
        <v>120000</v>
      </c>
      <c r="K16" s="9">
        <f t="shared" si="3"/>
        <v>1560000</v>
      </c>
      <c r="M16" s="2"/>
      <c r="N16" s="2"/>
      <c r="O16" s="2"/>
      <c r="P16" s="2"/>
      <c r="Q16" s="4"/>
    </row>
    <row r="17" spans="1:17" x14ac:dyDescent="0.25">
      <c r="A17" s="2"/>
      <c r="B17" s="2"/>
      <c r="C17" s="16"/>
      <c r="D17" s="4"/>
      <c r="E17" s="4"/>
      <c r="G17" s="13">
        <v>45973</v>
      </c>
      <c r="H17" s="10" t="s">
        <v>46</v>
      </c>
      <c r="I17" s="11">
        <v>130</v>
      </c>
      <c r="J17" s="12">
        <v>12000</v>
      </c>
      <c r="K17" s="9">
        <f t="shared" si="3"/>
        <v>1560000</v>
      </c>
      <c r="M17" s="2"/>
      <c r="N17" s="2"/>
      <c r="O17" s="2"/>
      <c r="P17" s="2"/>
      <c r="Q17" s="4"/>
    </row>
    <row r="18" spans="1:17" x14ac:dyDescent="0.25">
      <c r="A18" s="2"/>
      <c r="B18" s="2"/>
      <c r="C18" s="16"/>
      <c r="D18" s="4"/>
      <c r="E18" s="4"/>
      <c r="G18" s="13">
        <v>45978</v>
      </c>
      <c r="H18" s="10" t="s">
        <v>48</v>
      </c>
      <c r="I18" s="11">
        <v>6</v>
      </c>
      <c r="J18" s="12">
        <v>170000</v>
      </c>
      <c r="K18" s="9">
        <f t="shared" si="3"/>
        <v>1020000</v>
      </c>
      <c r="M18" s="2"/>
      <c r="N18" s="2"/>
      <c r="O18" s="2"/>
      <c r="P18" s="2"/>
      <c r="Q18" s="4"/>
    </row>
    <row r="19" spans="1:17" x14ac:dyDescent="0.25">
      <c r="A19" s="2"/>
      <c r="B19" s="2"/>
      <c r="C19" s="16"/>
      <c r="D19" s="4"/>
      <c r="E19" s="4"/>
      <c r="G19" s="13">
        <v>45978</v>
      </c>
      <c r="H19" s="10" t="s">
        <v>49</v>
      </c>
      <c r="I19" s="11">
        <f>50/5.5</f>
        <v>9.0909090909090917</v>
      </c>
      <c r="J19" s="12">
        <f>68000*5.5</f>
        <v>374000</v>
      </c>
      <c r="K19" s="9">
        <f t="shared" si="3"/>
        <v>3400000.0000000005</v>
      </c>
      <c r="M19" s="2"/>
      <c r="N19" s="2"/>
      <c r="O19" s="2"/>
      <c r="P19" s="2"/>
      <c r="Q19" s="4"/>
    </row>
    <row r="20" spans="1:17" x14ac:dyDescent="0.25">
      <c r="A20" s="2"/>
      <c r="B20" s="2"/>
      <c r="C20" s="16"/>
      <c r="D20" s="4"/>
      <c r="E20" s="4"/>
      <c r="G20" s="13">
        <v>45982</v>
      </c>
      <c r="H20" s="10" t="s">
        <v>50</v>
      </c>
      <c r="I20" s="11">
        <f>50/12</f>
        <v>4.166666666666667</v>
      </c>
      <c r="J20" s="12">
        <f>18000*12</f>
        <v>216000</v>
      </c>
      <c r="K20" s="9">
        <f t="shared" si="3"/>
        <v>900000.00000000012</v>
      </c>
      <c r="M20" s="2"/>
      <c r="N20" s="2"/>
      <c r="O20" s="2"/>
      <c r="P20" s="2"/>
      <c r="Q20" s="4"/>
    </row>
    <row r="21" spans="1:17" x14ac:dyDescent="0.25">
      <c r="A21" s="2"/>
      <c r="B21" s="2"/>
      <c r="C21" s="16"/>
      <c r="D21" s="4"/>
      <c r="E21" s="4"/>
      <c r="G21" s="13">
        <v>45985</v>
      </c>
      <c r="H21" s="10" t="s">
        <v>52</v>
      </c>
      <c r="I21" s="11">
        <v>17</v>
      </c>
      <c r="J21" s="12">
        <v>210000</v>
      </c>
      <c r="K21" s="9">
        <f t="shared" si="3"/>
        <v>3570000</v>
      </c>
      <c r="M21" s="2"/>
      <c r="N21" s="2"/>
      <c r="O21" s="2"/>
      <c r="P21" s="2"/>
      <c r="Q21" s="4"/>
    </row>
    <row r="22" spans="1:17" x14ac:dyDescent="0.25">
      <c r="A22" s="2"/>
      <c r="B22" s="2"/>
      <c r="C22" s="16"/>
      <c r="D22" s="4"/>
      <c r="E22" s="4"/>
      <c r="G22" s="13"/>
      <c r="H22" s="10"/>
      <c r="I22" s="11"/>
      <c r="J22" s="12"/>
      <c r="K22" s="9">
        <f t="shared" si="3"/>
        <v>0</v>
      </c>
      <c r="M22" s="2"/>
      <c r="N22" s="2"/>
      <c r="O22" s="2"/>
      <c r="P22" s="2"/>
      <c r="Q22" s="4"/>
    </row>
    <row r="23" spans="1:17" x14ac:dyDescent="0.25">
      <c r="A23" s="2"/>
      <c r="B23" s="2"/>
      <c r="C23" s="16"/>
      <c r="D23" s="4"/>
      <c r="E23" s="4"/>
      <c r="G23" s="13"/>
      <c r="H23" s="10"/>
      <c r="I23" s="11"/>
      <c r="J23" s="12"/>
      <c r="K23" s="9">
        <f t="shared" si="3"/>
        <v>0</v>
      </c>
      <c r="M23" s="2"/>
      <c r="N23" s="2"/>
      <c r="O23" s="2"/>
      <c r="P23" s="2"/>
      <c r="Q23" s="4"/>
    </row>
    <row r="24" spans="1:17" x14ac:dyDescent="0.25">
      <c r="A24" s="2"/>
      <c r="B24" s="2"/>
      <c r="C24" s="16"/>
      <c r="D24" s="4"/>
      <c r="E24" s="4">
        <f t="shared" si="0"/>
        <v>0</v>
      </c>
      <c r="G24" s="13"/>
      <c r="H24" s="10"/>
      <c r="I24" s="11"/>
      <c r="J24" s="12"/>
      <c r="K24" s="9">
        <f t="shared" si="3"/>
        <v>0</v>
      </c>
      <c r="M24" s="2"/>
      <c r="N24" s="2"/>
      <c r="O24" s="2"/>
      <c r="P24" s="2"/>
      <c r="Q24" s="4">
        <f t="shared" si="2"/>
        <v>0</v>
      </c>
    </row>
    <row r="25" spans="1:17" x14ac:dyDescent="0.25">
      <c r="A25" s="2"/>
      <c r="B25" s="2"/>
      <c r="C25" s="16"/>
      <c r="D25" s="4"/>
      <c r="E25" s="4">
        <f t="shared" si="0"/>
        <v>0</v>
      </c>
      <c r="G25" s="13"/>
      <c r="H25" s="10"/>
      <c r="I25" s="11"/>
      <c r="J25" s="12"/>
      <c r="K25" s="9">
        <f t="shared" si="3"/>
        <v>0</v>
      </c>
      <c r="M25" s="2"/>
      <c r="N25" s="2"/>
      <c r="O25" s="2"/>
      <c r="P25" s="2"/>
      <c r="Q25" s="4">
        <v>0</v>
      </c>
    </row>
    <row r="26" spans="1:17" x14ac:dyDescent="0.25">
      <c r="C26" s="33"/>
      <c r="D26" s="34"/>
      <c r="E26" s="34"/>
      <c r="G26" s="13"/>
      <c r="H26" s="10"/>
      <c r="I26" s="11"/>
      <c r="J26" s="12"/>
      <c r="K26" s="9">
        <f t="shared" si="3"/>
        <v>0</v>
      </c>
      <c r="Q26" s="34"/>
    </row>
    <row r="27" spans="1:17" x14ac:dyDescent="0.25">
      <c r="C27" s="33"/>
      <c r="D27" s="34"/>
      <c r="E27" s="34"/>
      <c r="G27" s="13"/>
      <c r="H27" s="10"/>
      <c r="I27" s="11"/>
      <c r="J27" s="12"/>
      <c r="K27" s="9">
        <f t="shared" si="3"/>
        <v>0</v>
      </c>
      <c r="Q27" s="34"/>
    </row>
    <row r="28" spans="1:17" x14ac:dyDescent="0.25">
      <c r="C28" s="33"/>
      <c r="D28" s="34"/>
      <c r="E28" s="34"/>
      <c r="G28" s="13"/>
      <c r="H28" s="10"/>
      <c r="I28" s="11"/>
      <c r="J28" s="12"/>
      <c r="K28" s="9">
        <f t="shared" si="3"/>
        <v>0</v>
      </c>
      <c r="Q28" s="34"/>
    </row>
    <row r="29" spans="1:17" x14ac:dyDescent="0.25">
      <c r="C29" s="33"/>
      <c r="D29" s="34"/>
      <c r="E29" s="34"/>
      <c r="G29" s="13"/>
      <c r="H29" s="10"/>
      <c r="I29" s="11"/>
      <c r="J29" s="12"/>
      <c r="K29" s="9">
        <f t="shared" si="3"/>
        <v>0</v>
      </c>
      <c r="Q29" s="34"/>
    </row>
    <row r="30" spans="1:17" x14ac:dyDescent="0.25">
      <c r="C30" s="33"/>
      <c r="D30" s="34"/>
      <c r="E30" s="34"/>
      <c r="G30" s="13"/>
      <c r="H30" s="10"/>
      <c r="I30" s="11"/>
      <c r="J30" s="12"/>
      <c r="K30" s="9">
        <f t="shared" si="3"/>
        <v>0</v>
      </c>
      <c r="Q30" s="34"/>
    </row>
    <row r="31" spans="1:17" x14ac:dyDescent="0.25">
      <c r="C31" s="33"/>
      <c r="D31" s="34"/>
      <c r="E31" s="34"/>
      <c r="G31" s="13"/>
      <c r="H31" s="10"/>
      <c r="I31" s="11"/>
      <c r="J31" s="12"/>
      <c r="K31" s="9">
        <f t="shared" si="3"/>
        <v>0</v>
      </c>
      <c r="Q31" s="34"/>
    </row>
    <row r="32" spans="1:17" x14ac:dyDescent="0.25">
      <c r="E32" s="6">
        <f>SUM(E5:E24)</f>
        <v>0</v>
      </c>
      <c r="I32" s="5"/>
      <c r="K32" s="5">
        <f>SUM(K5:K25)</f>
        <v>41314000</v>
      </c>
      <c r="Q32" s="6">
        <f>SUM(Q5:Q25)</f>
        <v>0</v>
      </c>
    </row>
    <row r="38" spans="10:10" x14ac:dyDescent="0.25">
      <c r="J38" s="5">
        <f>780+840</f>
        <v>1620</v>
      </c>
    </row>
  </sheetData>
  <mergeCells count="16">
    <mergeCell ref="A1:Q2"/>
    <mergeCell ref="M3:M4"/>
    <mergeCell ref="N3:N4"/>
    <mergeCell ref="O3:O4"/>
    <mergeCell ref="P3:P4"/>
    <mergeCell ref="Q3:Q4"/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>
      <selection activeCell="G9" sqref="G9"/>
    </sheetView>
  </sheetViews>
  <sheetFormatPr defaultColWidth="8.88671875" defaultRowHeight="12" x14ac:dyDescent="0.25"/>
  <cols>
    <col min="1" max="1" width="9.33203125" style="1" bestFit="1" customWidth="1"/>
    <col min="2" max="2" width="19.5546875" style="1" bestFit="1" customWidth="1"/>
    <col min="3" max="4" width="8.88671875" style="1"/>
    <col min="5" max="5" width="9.88671875" style="1" bestFit="1" customWidth="1"/>
    <col min="6" max="6" width="2.88671875" style="1" customWidth="1"/>
    <col min="7" max="7" width="9.33203125" style="1" bestFit="1" customWidth="1"/>
    <col min="8" max="8" width="25.88671875" style="1" bestFit="1" customWidth="1"/>
    <col min="9" max="9" width="9.88671875" style="1" bestFit="1" customWidth="1"/>
    <col min="10" max="10" width="8.88671875" style="5"/>
    <col min="11" max="11" width="9.88671875" style="5" bestFit="1" customWidth="1"/>
    <col min="12" max="12" width="2.5546875" style="1" customWidth="1"/>
    <col min="13" max="13" width="9.33203125" style="1" bestFit="1" customWidth="1"/>
    <col min="14" max="14" width="17" style="1" bestFit="1" customWidth="1"/>
    <col min="15" max="15" width="8.88671875" style="1"/>
    <col min="16" max="17" width="8.88671875" style="5"/>
    <col min="18" max="16384" width="8.88671875" style="1"/>
  </cols>
  <sheetData>
    <row r="1" spans="1:17" ht="12" customHeight="1" x14ac:dyDescent="0.25">
      <c r="A1" s="42">
        <v>44805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12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x14ac:dyDescent="0.25">
      <c r="A3" s="43" t="s">
        <v>0</v>
      </c>
      <c r="B3" s="43" t="s">
        <v>8</v>
      </c>
      <c r="C3" s="43" t="s">
        <v>4</v>
      </c>
      <c r="D3" s="45" t="s">
        <v>2</v>
      </c>
      <c r="E3" s="45" t="s">
        <v>3</v>
      </c>
      <c r="G3" s="43" t="s">
        <v>0</v>
      </c>
      <c r="H3" s="43" t="s">
        <v>7</v>
      </c>
      <c r="I3" s="43" t="s">
        <v>4</v>
      </c>
      <c r="J3" s="45" t="s">
        <v>2</v>
      </c>
      <c r="K3" s="45" t="s">
        <v>3</v>
      </c>
      <c r="M3" s="43" t="s">
        <v>0</v>
      </c>
      <c r="N3" s="43" t="s">
        <v>6</v>
      </c>
      <c r="O3" s="43" t="s">
        <v>4</v>
      </c>
      <c r="P3" s="45" t="s">
        <v>2</v>
      </c>
      <c r="Q3" s="45" t="s">
        <v>3</v>
      </c>
    </row>
    <row r="4" spans="1:17" x14ac:dyDescent="0.25">
      <c r="A4" s="44"/>
      <c r="B4" s="44"/>
      <c r="C4" s="44"/>
      <c r="D4" s="46"/>
      <c r="E4" s="46"/>
      <c r="G4" s="44"/>
      <c r="H4" s="44"/>
      <c r="I4" s="44"/>
      <c r="J4" s="46"/>
      <c r="K4" s="46"/>
      <c r="M4" s="44"/>
      <c r="N4" s="44"/>
      <c r="O4" s="44"/>
      <c r="P4" s="46"/>
      <c r="Q4" s="46"/>
    </row>
    <row r="5" spans="1:17" x14ac:dyDescent="0.25">
      <c r="A5" s="13"/>
      <c r="B5" s="10"/>
      <c r="C5" s="11"/>
      <c r="D5" s="12"/>
      <c r="E5" s="4">
        <f t="shared" ref="E5:E21" si="0">C5*D5</f>
        <v>0</v>
      </c>
      <c r="G5" s="13">
        <v>45947</v>
      </c>
      <c r="H5" s="10" t="s">
        <v>34</v>
      </c>
      <c r="I5" s="11">
        <v>60</v>
      </c>
      <c r="J5" s="4">
        <v>120000</v>
      </c>
      <c r="K5" s="4">
        <f>I5*J5</f>
        <v>7200000</v>
      </c>
      <c r="M5" s="2"/>
      <c r="N5" s="2"/>
      <c r="O5" s="2"/>
      <c r="P5" s="4"/>
      <c r="Q5" s="4">
        <f>O5*P5</f>
        <v>0</v>
      </c>
    </row>
    <row r="6" spans="1:17" x14ac:dyDescent="0.25">
      <c r="A6" s="13"/>
      <c r="B6" s="10"/>
      <c r="C6" s="11"/>
      <c r="D6" s="12"/>
      <c r="E6" s="4">
        <f t="shared" si="0"/>
        <v>0</v>
      </c>
      <c r="G6" s="13">
        <v>45951</v>
      </c>
      <c r="H6" s="10" t="s">
        <v>36</v>
      </c>
      <c r="I6" s="11">
        <v>5</v>
      </c>
      <c r="J6" s="12">
        <v>30000</v>
      </c>
      <c r="K6" s="4">
        <f>I6*J6</f>
        <v>150000</v>
      </c>
      <c r="M6" s="2"/>
      <c r="N6" s="2"/>
      <c r="O6" s="2"/>
      <c r="P6" s="4"/>
      <c r="Q6" s="4">
        <f>O6*P6</f>
        <v>0</v>
      </c>
    </row>
    <row r="7" spans="1:17" x14ac:dyDescent="0.25">
      <c r="A7" s="3"/>
      <c r="B7" s="10"/>
      <c r="C7" s="11"/>
      <c r="D7" s="12"/>
      <c r="E7" s="4">
        <f t="shared" si="0"/>
        <v>0</v>
      </c>
      <c r="G7" s="13">
        <v>45961</v>
      </c>
      <c r="H7" s="10" t="s">
        <v>39</v>
      </c>
      <c r="I7" s="11">
        <v>9</v>
      </c>
      <c r="J7" s="12">
        <v>95000</v>
      </c>
      <c r="K7" s="4">
        <f>I7*J7</f>
        <v>855000</v>
      </c>
      <c r="M7" s="2"/>
      <c r="N7" s="2"/>
      <c r="O7" s="2"/>
      <c r="P7" s="4"/>
      <c r="Q7" s="4">
        <f>O7*P7</f>
        <v>0</v>
      </c>
    </row>
    <row r="8" spans="1:17" x14ac:dyDescent="0.25">
      <c r="A8" s="3"/>
      <c r="B8" s="10"/>
      <c r="C8" s="11"/>
      <c r="D8" s="12"/>
      <c r="E8" s="4">
        <f t="shared" si="0"/>
        <v>0</v>
      </c>
      <c r="G8" s="13">
        <v>45962</v>
      </c>
      <c r="H8" s="10" t="s">
        <v>29</v>
      </c>
      <c r="I8" s="11">
        <f>47/11</f>
        <v>4.2727272727272725</v>
      </c>
      <c r="J8" s="12">
        <f>33000*11</f>
        <v>363000</v>
      </c>
      <c r="K8" s="4">
        <f>I8*J8</f>
        <v>1551000</v>
      </c>
      <c r="M8" s="2"/>
      <c r="N8" s="2"/>
      <c r="O8" s="2"/>
      <c r="P8" s="4"/>
      <c r="Q8" s="4">
        <f>O8*P8</f>
        <v>0</v>
      </c>
    </row>
    <row r="9" spans="1:17" x14ac:dyDescent="0.25">
      <c r="A9" s="3"/>
      <c r="B9" s="10"/>
      <c r="C9" s="11"/>
      <c r="D9" s="12"/>
      <c r="E9" s="4">
        <f t="shared" si="0"/>
        <v>0</v>
      </c>
      <c r="G9" s="13"/>
      <c r="H9" s="10"/>
      <c r="I9" s="11"/>
      <c r="J9" s="12"/>
      <c r="K9" s="4">
        <f t="shared" ref="K9:K21" si="1">I9*J9</f>
        <v>0</v>
      </c>
      <c r="M9" s="2"/>
      <c r="N9" s="2"/>
      <c r="O9" s="2"/>
      <c r="P9" s="4"/>
      <c r="Q9" s="4">
        <f t="shared" ref="Q9:Q21" si="2">O9*P9</f>
        <v>0</v>
      </c>
    </row>
    <row r="10" spans="1:17" x14ac:dyDescent="0.25">
      <c r="A10" s="3"/>
      <c r="B10" s="10"/>
      <c r="C10" s="11"/>
      <c r="D10" s="12"/>
      <c r="E10" s="4">
        <f t="shared" si="0"/>
        <v>0</v>
      </c>
      <c r="G10" s="13"/>
      <c r="H10" s="10"/>
      <c r="I10" s="11"/>
      <c r="J10" s="12"/>
      <c r="K10" s="4">
        <f t="shared" si="1"/>
        <v>0</v>
      </c>
      <c r="M10" s="2"/>
      <c r="N10" s="2"/>
      <c r="O10" s="2"/>
      <c r="P10" s="4"/>
      <c r="Q10" s="4">
        <f t="shared" si="2"/>
        <v>0</v>
      </c>
    </row>
    <row r="11" spans="1:17" x14ac:dyDescent="0.25">
      <c r="A11" s="3"/>
      <c r="B11" s="10"/>
      <c r="C11" s="11"/>
      <c r="D11" s="12"/>
      <c r="E11" s="4">
        <f t="shared" si="0"/>
        <v>0</v>
      </c>
      <c r="G11" s="13"/>
      <c r="H11" s="10"/>
      <c r="I11" s="11"/>
      <c r="J11" s="12"/>
      <c r="K11" s="4">
        <f t="shared" si="1"/>
        <v>0</v>
      </c>
      <c r="M11" s="2"/>
      <c r="N11" s="2"/>
      <c r="O11" s="2"/>
      <c r="P11" s="4"/>
      <c r="Q11" s="4">
        <f t="shared" si="2"/>
        <v>0</v>
      </c>
    </row>
    <row r="12" spans="1:17" x14ac:dyDescent="0.25">
      <c r="A12" s="2"/>
      <c r="B12" s="2"/>
      <c r="C12" s="2"/>
      <c r="D12" s="4"/>
      <c r="E12" s="4">
        <f t="shared" si="0"/>
        <v>0</v>
      </c>
      <c r="G12" s="13"/>
      <c r="H12" s="10"/>
      <c r="I12" s="11"/>
      <c r="J12" s="12"/>
      <c r="K12" s="4">
        <f t="shared" si="1"/>
        <v>0</v>
      </c>
      <c r="M12" s="2"/>
      <c r="N12" s="2"/>
      <c r="O12" s="2"/>
      <c r="P12" s="4"/>
      <c r="Q12" s="4">
        <f t="shared" si="2"/>
        <v>0</v>
      </c>
    </row>
    <row r="13" spans="1:17" x14ac:dyDescent="0.25">
      <c r="A13" s="2"/>
      <c r="B13" s="2"/>
      <c r="C13" s="2"/>
      <c r="D13" s="4"/>
      <c r="E13" s="4">
        <f t="shared" si="0"/>
        <v>0</v>
      </c>
      <c r="G13" s="13"/>
      <c r="H13" s="10"/>
      <c r="I13" s="11"/>
      <c r="J13" s="12"/>
      <c r="K13" s="4">
        <f t="shared" si="1"/>
        <v>0</v>
      </c>
      <c r="M13" s="2"/>
      <c r="N13" s="2"/>
      <c r="O13" s="2"/>
      <c r="P13" s="4"/>
      <c r="Q13" s="4">
        <f t="shared" si="2"/>
        <v>0</v>
      </c>
    </row>
    <row r="14" spans="1:17" x14ac:dyDescent="0.25">
      <c r="A14" s="2"/>
      <c r="B14" s="2"/>
      <c r="C14" s="2"/>
      <c r="D14" s="4"/>
      <c r="E14" s="4">
        <f t="shared" si="0"/>
        <v>0</v>
      </c>
      <c r="G14" s="13"/>
      <c r="H14" s="10"/>
      <c r="I14" s="11"/>
      <c r="J14" s="12"/>
      <c r="K14" s="4">
        <f t="shared" si="1"/>
        <v>0</v>
      </c>
      <c r="M14" s="2"/>
      <c r="N14" s="2"/>
      <c r="O14" s="2"/>
      <c r="P14" s="4"/>
      <c r="Q14" s="4">
        <f t="shared" si="2"/>
        <v>0</v>
      </c>
    </row>
    <row r="15" spans="1:17" x14ac:dyDescent="0.25">
      <c r="A15" s="2"/>
      <c r="B15" s="2"/>
      <c r="C15" s="2"/>
      <c r="D15" s="4"/>
      <c r="E15" s="4">
        <f t="shared" si="0"/>
        <v>0</v>
      </c>
      <c r="G15" s="13"/>
      <c r="H15" s="10"/>
      <c r="I15" s="11"/>
      <c r="J15" s="12"/>
      <c r="K15" s="4">
        <f t="shared" si="1"/>
        <v>0</v>
      </c>
      <c r="M15" s="2"/>
      <c r="N15" s="2"/>
      <c r="O15" s="2"/>
      <c r="P15" s="4"/>
      <c r="Q15" s="4">
        <f t="shared" si="2"/>
        <v>0</v>
      </c>
    </row>
    <row r="16" spans="1:17" x14ac:dyDescent="0.25">
      <c r="A16" s="2"/>
      <c r="B16" s="2"/>
      <c r="C16" s="2"/>
      <c r="D16" s="4"/>
      <c r="E16" s="4">
        <f t="shared" si="0"/>
        <v>0</v>
      </c>
      <c r="G16" s="13"/>
      <c r="H16" s="10"/>
      <c r="I16" s="11"/>
      <c r="J16" s="12"/>
      <c r="K16" s="4">
        <f t="shared" si="1"/>
        <v>0</v>
      </c>
      <c r="M16" s="2"/>
      <c r="N16" s="2"/>
      <c r="O16" s="2"/>
      <c r="P16" s="4"/>
      <c r="Q16" s="4">
        <f t="shared" si="2"/>
        <v>0</v>
      </c>
    </row>
    <row r="17" spans="1:17" x14ac:dyDescent="0.25">
      <c r="A17" s="2"/>
      <c r="B17" s="2"/>
      <c r="C17" s="2"/>
      <c r="D17" s="4"/>
      <c r="E17" s="4">
        <f t="shared" si="0"/>
        <v>0</v>
      </c>
      <c r="G17" s="13"/>
      <c r="H17" s="17"/>
      <c r="I17" s="11"/>
      <c r="J17" s="12"/>
      <c r="K17" s="4">
        <f t="shared" si="1"/>
        <v>0</v>
      </c>
      <c r="M17" s="2"/>
      <c r="N17" s="2"/>
      <c r="O17" s="2"/>
      <c r="P17" s="4"/>
      <c r="Q17" s="4">
        <f t="shared" si="2"/>
        <v>0</v>
      </c>
    </row>
    <row r="18" spans="1:17" x14ac:dyDescent="0.25">
      <c r="A18" s="2"/>
      <c r="B18" s="2"/>
      <c r="C18" s="2"/>
      <c r="D18" s="4"/>
      <c r="E18" s="4">
        <f t="shared" si="0"/>
        <v>0</v>
      </c>
      <c r="G18" s="13"/>
      <c r="H18" s="10"/>
      <c r="I18" s="11"/>
      <c r="J18" s="12"/>
      <c r="K18" s="4">
        <f t="shared" si="1"/>
        <v>0</v>
      </c>
      <c r="M18" s="2"/>
      <c r="N18" s="2"/>
      <c r="O18" s="2"/>
      <c r="P18" s="4"/>
      <c r="Q18" s="4">
        <f t="shared" si="2"/>
        <v>0</v>
      </c>
    </row>
    <row r="19" spans="1:17" x14ac:dyDescent="0.25">
      <c r="A19" s="2"/>
      <c r="B19" s="2"/>
      <c r="C19" s="2"/>
      <c r="D19" s="4"/>
      <c r="E19" s="4">
        <f t="shared" si="0"/>
        <v>0</v>
      </c>
      <c r="G19" s="13"/>
      <c r="H19" s="10"/>
      <c r="I19" s="11"/>
      <c r="J19" s="12"/>
      <c r="K19" s="4">
        <f t="shared" si="1"/>
        <v>0</v>
      </c>
      <c r="M19" s="2"/>
      <c r="N19" s="2"/>
      <c r="O19" s="2"/>
      <c r="P19" s="4"/>
      <c r="Q19" s="4">
        <f t="shared" si="2"/>
        <v>0</v>
      </c>
    </row>
    <row r="20" spans="1:17" x14ac:dyDescent="0.25">
      <c r="A20" s="2"/>
      <c r="B20" s="2"/>
      <c r="C20" s="2"/>
      <c r="D20" s="4"/>
      <c r="E20" s="4">
        <f t="shared" si="0"/>
        <v>0</v>
      </c>
      <c r="G20" s="13"/>
      <c r="H20" s="10"/>
      <c r="I20" s="11"/>
      <c r="J20" s="12"/>
      <c r="K20" s="4">
        <f t="shared" si="1"/>
        <v>0</v>
      </c>
      <c r="M20" s="2"/>
      <c r="N20" s="2"/>
      <c r="O20" s="2"/>
      <c r="P20" s="4"/>
      <c r="Q20" s="4">
        <f t="shared" si="2"/>
        <v>0</v>
      </c>
    </row>
    <row r="21" spans="1:17" x14ac:dyDescent="0.25">
      <c r="A21" s="2"/>
      <c r="B21" s="2"/>
      <c r="C21" s="2"/>
      <c r="D21" s="4"/>
      <c r="E21" s="4">
        <f t="shared" si="0"/>
        <v>0</v>
      </c>
      <c r="G21" s="13"/>
      <c r="H21" s="10"/>
      <c r="I21" s="11"/>
      <c r="J21" s="12"/>
      <c r="K21" s="4">
        <f t="shared" si="1"/>
        <v>0</v>
      </c>
      <c r="M21" s="2"/>
      <c r="N21" s="2"/>
      <c r="O21" s="2"/>
      <c r="P21" s="4"/>
      <c r="Q21" s="4">
        <f t="shared" si="2"/>
        <v>0</v>
      </c>
    </row>
    <row r="22" spans="1:17" x14ac:dyDescent="0.25">
      <c r="D22" s="5"/>
      <c r="E22" s="5">
        <f>SUM(E5:E21)</f>
        <v>0</v>
      </c>
      <c r="I22" s="5"/>
      <c r="K22" s="5">
        <f>SUM(K5:K21)</f>
        <v>9756000</v>
      </c>
      <c r="Q22" s="5">
        <f>SUM(Q5:Q21)</f>
        <v>0</v>
      </c>
    </row>
    <row r="23" spans="1:17" x14ac:dyDescent="0.25">
      <c r="A23" s="15"/>
      <c r="E23" s="5"/>
    </row>
  </sheetData>
  <mergeCells count="16">
    <mergeCell ref="A1:Q2"/>
    <mergeCell ref="K3:K4"/>
    <mergeCell ref="A3:A4"/>
    <mergeCell ref="B3:B4"/>
    <mergeCell ref="C3:C4"/>
    <mergeCell ref="D3:D4"/>
    <mergeCell ref="E3:E4"/>
    <mergeCell ref="M3:M4"/>
    <mergeCell ref="N3:N4"/>
    <mergeCell ref="O3:O4"/>
    <mergeCell ref="P3:P4"/>
    <mergeCell ref="Q3:Q4"/>
    <mergeCell ref="G3:G4"/>
    <mergeCell ref="H3:H4"/>
    <mergeCell ref="I3:I4"/>
    <mergeCell ref="J3:J4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80DB-A43E-4515-A261-6247289344CC}">
  <dimension ref="A1:R21"/>
  <sheetViews>
    <sheetView workbookViewId="0">
      <selection activeCell="H7" sqref="H7"/>
    </sheetView>
  </sheetViews>
  <sheetFormatPr defaultRowHeight="14.4" x14ac:dyDescent="0.3"/>
  <cols>
    <col min="7" max="7" width="8.33203125" bestFit="1" customWidth="1"/>
    <col min="8" max="8" width="26.44140625" bestFit="1" customWidth="1"/>
    <col min="14" max="14" width="14.5546875" bestFit="1" customWidth="1"/>
  </cols>
  <sheetData>
    <row r="1" spans="1:18" x14ac:dyDescent="0.3">
      <c r="A1" s="42">
        <v>44805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1"/>
    </row>
    <row r="2" spans="1:18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1"/>
    </row>
    <row r="3" spans="1:18" x14ac:dyDescent="0.3">
      <c r="A3" s="43" t="s">
        <v>0</v>
      </c>
      <c r="B3" s="43" t="s">
        <v>22</v>
      </c>
      <c r="C3" s="47" t="s">
        <v>4</v>
      </c>
      <c r="D3" s="45" t="s">
        <v>2</v>
      </c>
      <c r="E3" s="43" t="s">
        <v>3</v>
      </c>
      <c r="F3" s="1"/>
      <c r="G3" s="43" t="s">
        <v>0</v>
      </c>
      <c r="H3" s="43" t="s">
        <v>23</v>
      </c>
      <c r="I3" s="43" t="s">
        <v>4</v>
      </c>
      <c r="J3" s="45" t="s">
        <v>2</v>
      </c>
      <c r="K3" s="45" t="s">
        <v>3</v>
      </c>
      <c r="L3" s="1"/>
      <c r="M3" s="43" t="s">
        <v>0</v>
      </c>
      <c r="N3" s="43" t="s">
        <v>11</v>
      </c>
      <c r="O3" s="43" t="s">
        <v>4</v>
      </c>
      <c r="P3" s="43" t="s">
        <v>2</v>
      </c>
      <c r="Q3" s="43" t="s">
        <v>3</v>
      </c>
      <c r="R3" s="1"/>
    </row>
    <row r="4" spans="1:18" x14ac:dyDescent="0.3">
      <c r="A4" s="44"/>
      <c r="B4" s="44"/>
      <c r="C4" s="48"/>
      <c r="D4" s="46"/>
      <c r="E4" s="44"/>
      <c r="F4" s="1"/>
      <c r="G4" s="44"/>
      <c r="H4" s="44"/>
      <c r="I4" s="44"/>
      <c r="J4" s="46"/>
      <c r="K4" s="46"/>
      <c r="L4" s="1"/>
      <c r="M4" s="44"/>
      <c r="N4" s="44"/>
      <c r="O4" s="44"/>
      <c r="P4" s="44"/>
      <c r="Q4" s="44"/>
      <c r="R4" s="1"/>
    </row>
    <row r="5" spans="1:18" x14ac:dyDescent="0.3">
      <c r="A5" s="13"/>
      <c r="B5" s="10"/>
      <c r="C5" s="11"/>
      <c r="D5" s="12"/>
      <c r="E5" s="4">
        <f t="shared" ref="E5:E17" si="0">C5*D5</f>
        <v>0</v>
      </c>
      <c r="F5" s="1"/>
      <c r="G5" s="13">
        <v>45945</v>
      </c>
      <c r="H5" s="10" t="s">
        <v>33</v>
      </c>
      <c r="I5" s="11">
        <f>15/5.5</f>
        <v>2.7272727272727271</v>
      </c>
      <c r="J5" s="12">
        <f>68000*5.5</f>
        <v>374000</v>
      </c>
      <c r="K5" s="9">
        <f t="shared" ref="K5:K12" si="1">I5*J5</f>
        <v>1019999.9999999999</v>
      </c>
      <c r="L5" s="1"/>
      <c r="M5" s="2"/>
      <c r="N5" s="2"/>
      <c r="O5" s="2"/>
      <c r="P5" s="2"/>
      <c r="Q5" s="4">
        <f t="shared" ref="Q5:Q15" si="2">O5*P5</f>
        <v>0</v>
      </c>
      <c r="R5" s="1"/>
    </row>
    <row r="6" spans="1:18" x14ac:dyDescent="0.3">
      <c r="A6" s="13"/>
      <c r="B6" s="10"/>
      <c r="C6" s="11"/>
      <c r="D6" s="12"/>
      <c r="E6" s="4">
        <f t="shared" si="0"/>
        <v>0</v>
      </c>
      <c r="F6" s="1"/>
      <c r="G6" s="13">
        <v>45957</v>
      </c>
      <c r="H6" s="10" t="s">
        <v>37</v>
      </c>
      <c r="I6" s="11">
        <v>13</v>
      </c>
      <c r="J6" s="12">
        <v>180000</v>
      </c>
      <c r="K6" s="9">
        <f t="shared" si="1"/>
        <v>2340000</v>
      </c>
      <c r="L6" s="1"/>
      <c r="M6" s="2"/>
      <c r="N6" s="2"/>
      <c r="O6" s="2"/>
      <c r="P6" s="2"/>
      <c r="Q6" s="4">
        <f t="shared" si="2"/>
        <v>0</v>
      </c>
      <c r="R6" s="1"/>
    </row>
    <row r="7" spans="1:18" x14ac:dyDescent="0.3">
      <c r="A7" s="3"/>
      <c r="B7" s="10"/>
      <c r="C7" s="11"/>
      <c r="D7" s="12"/>
      <c r="E7" s="4">
        <f t="shared" si="0"/>
        <v>0</v>
      </c>
      <c r="F7" s="1"/>
      <c r="G7" s="13"/>
      <c r="H7" s="10"/>
      <c r="I7" s="11"/>
      <c r="J7" s="12"/>
      <c r="K7" s="9">
        <f t="shared" si="1"/>
        <v>0</v>
      </c>
      <c r="L7" s="1"/>
      <c r="M7" s="2"/>
      <c r="N7" s="2"/>
      <c r="O7" s="2"/>
      <c r="P7" s="2"/>
      <c r="Q7" s="4">
        <f t="shared" si="2"/>
        <v>0</v>
      </c>
      <c r="R7" s="1"/>
    </row>
    <row r="8" spans="1:18" x14ac:dyDescent="0.3">
      <c r="A8" s="3"/>
      <c r="B8" s="10"/>
      <c r="C8" s="11"/>
      <c r="D8" s="12"/>
      <c r="E8" s="4">
        <f t="shared" si="0"/>
        <v>0</v>
      </c>
      <c r="F8" s="1"/>
      <c r="G8" s="3"/>
      <c r="H8" s="10"/>
      <c r="I8" s="11"/>
      <c r="J8" s="12"/>
      <c r="K8" s="9">
        <f t="shared" si="1"/>
        <v>0</v>
      </c>
      <c r="L8" s="1"/>
      <c r="M8" s="2"/>
      <c r="N8" s="2"/>
      <c r="O8" s="2"/>
      <c r="P8" s="2"/>
      <c r="Q8" s="4">
        <f t="shared" si="2"/>
        <v>0</v>
      </c>
      <c r="R8" s="1"/>
    </row>
    <row r="9" spans="1:18" x14ac:dyDescent="0.3">
      <c r="A9" s="3"/>
      <c r="B9" s="10"/>
      <c r="C9" s="11"/>
      <c r="D9" s="12"/>
      <c r="E9" s="4">
        <f t="shared" si="0"/>
        <v>0</v>
      </c>
      <c r="F9" s="1"/>
      <c r="G9" s="3"/>
      <c r="H9" s="10"/>
      <c r="I9" s="11"/>
      <c r="J9" s="12"/>
      <c r="K9" s="9">
        <f t="shared" si="1"/>
        <v>0</v>
      </c>
      <c r="L9" s="1"/>
      <c r="M9" s="2"/>
      <c r="N9" s="2"/>
      <c r="O9" s="2"/>
      <c r="P9" s="2"/>
      <c r="Q9" s="4">
        <f t="shared" si="2"/>
        <v>0</v>
      </c>
      <c r="R9" s="1"/>
    </row>
    <row r="10" spans="1:18" x14ac:dyDescent="0.3">
      <c r="A10" s="2"/>
      <c r="B10" s="2"/>
      <c r="C10" s="16"/>
      <c r="D10" s="4"/>
      <c r="E10" s="4">
        <f t="shared" si="0"/>
        <v>0</v>
      </c>
      <c r="F10" s="1"/>
      <c r="G10" s="3"/>
      <c r="H10" s="10"/>
      <c r="I10" s="11"/>
      <c r="J10" s="12"/>
      <c r="K10" s="9">
        <f t="shared" si="1"/>
        <v>0</v>
      </c>
      <c r="L10" s="1"/>
      <c r="M10" s="2"/>
      <c r="N10" s="2"/>
      <c r="O10" s="2"/>
      <c r="P10" s="2"/>
      <c r="Q10" s="4">
        <f t="shared" si="2"/>
        <v>0</v>
      </c>
      <c r="R10" s="1"/>
    </row>
    <row r="11" spans="1:18" x14ac:dyDescent="0.3">
      <c r="A11" s="2"/>
      <c r="B11" s="2"/>
      <c r="C11" s="16"/>
      <c r="D11" s="4"/>
      <c r="E11" s="4">
        <f t="shared" si="0"/>
        <v>0</v>
      </c>
      <c r="F11" s="1"/>
      <c r="G11" s="13"/>
      <c r="H11" s="10"/>
      <c r="I11" s="11"/>
      <c r="J11" s="12"/>
      <c r="K11" s="9">
        <f t="shared" si="1"/>
        <v>0</v>
      </c>
      <c r="L11" s="1"/>
      <c r="M11" s="2"/>
      <c r="N11" s="2"/>
      <c r="O11" s="2"/>
      <c r="P11" s="2"/>
      <c r="Q11" s="4">
        <f t="shared" si="2"/>
        <v>0</v>
      </c>
      <c r="R11" s="1"/>
    </row>
    <row r="12" spans="1:18" x14ac:dyDescent="0.3">
      <c r="A12" s="2"/>
      <c r="B12" s="2"/>
      <c r="C12" s="16"/>
      <c r="D12" s="4"/>
      <c r="E12" s="4">
        <f t="shared" si="0"/>
        <v>0</v>
      </c>
      <c r="F12" s="1"/>
      <c r="G12" s="13"/>
      <c r="H12" s="10"/>
      <c r="I12" s="11"/>
      <c r="J12" s="12"/>
      <c r="K12" s="9">
        <f t="shared" si="1"/>
        <v>0</v>
      </c>
      <c r="L12" s="1"/>
      <c r="M12" s="2"/>
      <c r="N12" s="2"/>
      <c r="O12" s="2"/>
      <c r="P12" s="2"/>
      <c r="Q12" s="4">
        <f t="shared" si="2"/>
        <v>0</v>
      </c>
      <c r="R12" s="1"/>
    </row>
    <row r="13" spans="1:18" x14ac:dyDescent="0.3">
      <c r="A13" s="2"/>
      <c r="B13" s="2"/>
      <c r="C13" s="16"/>
      <c r="D13" s="4"/>
      <c r="E13" s="4">
        <f t="shared" si="0"/>
        <v>0</v>
      </c>
      <c r="F13" s="1"/>
      <c r="G13" s="13"/>
      <c r="H13" s="10"/>
      <c r="I13" s="11"/>
      <c r="J13" s="12"/>
      <c r="K13" s="9">
        <f>I13*J13</f>
        <v>0</v>
      </c>
      <c r="L13" s="1"/>
      <c r="M13" s="2"/>
      <c r="N13" s="2"/>
      <c r="O13" s="2"/>
      <c r="P13" s="2"/>
      <c r="Q13" s="4">
        <f t="shared" si="2"/>
        <v>0</v>
      </c>
      <c r="R13" s="1"/>
    </row>
    <row r="14" spans="1:18" x14ac:dyDescent="0.3">
      <c r="A14" s="2"/>
      <c r="B14" s="2"/>
      <c r="C14" s="16"/>
      <c r="D14" s="4"/>
      <c r="E14" s="4">
        <f t="shared" si="0"/>
        <v>0</v>
      </c>
      <c r="F14" s="1"/>
      <c r="G14" s="13"/>
      <c r="H14" s="10"/>
      <c r="I14" s="11"/>
      <c r="J14" s="12"/>
      <c r="K14" s="9">
        <f>I14*J14</f>
        <v>0</v>
      </c>
      <c r="L14" s="1"/>
      <c r="M14" s="2"/>
      <c r="N14" s="2"/>
      <c r="O14" s="2"/>
      <c r="P14" s="2"/>
      <c r="Q14" s="4">
        <v>0</v>
      </c>
      <c r="R14" s="1"/>
    </row>
    <row r="15" spans="1:18" x14ac:dyDescent="0.3">
      <c r="A15" s="2"/>
      <c r="B15" s="2"/>
      <c r="C15" s="16"/>
      <c r="D15" s="4"/>
      <c r="E15" s="4">
        <f t="shared" si="0"/>
        <v>0</v>
      </c>
      <c r="F15" s="1"/>
      <c r="G15" s="3"/>
      <c r="H15" s="10"/>
      <c r="I15" s="11"/>
      <c r="J15" s="12"/>
      <c r="K15" s="9">
        <f>I15*J15</f>
        <v>0</v>
      </c>
      <c r="L15" s="1"/>
      <c r="M15" s="2"/>
      <c r="N15" s="2"/>
      <c r="O15" s="2"/>
      <c r="P15" s="2"/>
      <c r="Q15" s="4">
        <f t="shared" si="2"/>
        <v>0</v>
      </c>
      <c r="R15" s="1"/>
    </row>
    <row r="16" spans="1:18" x14ac:dyDescent="0.3">
      <c r="A16" s="2"/>
      <c r="B16" s="2"/>
      <c r="C16" s="16"/>
      <c r="D16" s="4"/>
      <c r="E16" s="4">
        <f t="shared" si="0"/>
        <v>0</v>
      </c>
      <c r="F16" s="1"/>
      <c r="G16" s="13"/>
      <c r="H16" s="10"/>
      <c r="I16" s="11"/>
      <c r="J16" s="12"/>
      <c r="K16" s="9">
        <f>I16*J16</f>
        <v>0</v>
      </c>
      <c r="L16" s="1"/>
      <c r="M16" s="2"/>
      <c r="N16" s="2"/>
      <c r="O16" s="2"/>
      <c r="P16" s="2"/>
      <c r="Q16" s="4">
        <v>0</v>
      </c>
      <c r="R16" s="1"/>
    </row>
    <row r="17" spans="1:18" x14ac:dyDescent="0.3">
      <c r="A17" s="2"/>
      <c r="B17" s="2"/>
      <c r="C17" s="16"/>
      <c r="D17" s="4"/>
      <c r="E17" s="4">
        <f t="shared" si="0"/>
        <v>0</v>
      </c>
      <c r="F17" s="1"/>
      <c r="G17" s="3"/>
      <c r="H17" s="10"/>
      <c r="I17" s="11"/>
      <c r="J17" s="12"/>
      <c r="K17" s="9">
        <f>I17*J17</f>
        <v>0</v>
      </c>
      <c r="L17" s="1"/>
      <c r="M17" s="2"/>
      <c r="N17" s="2"/>
      <c r="O17" s="2"/>
      <c r="P17" s="2"/>
      <c r="Q17" s="4">
        <v>0</v>
      </c>
      <c r="R17" s="1"/>
    </row>
    <row r="18" spans="1:18" x14ac:dyDescent="0.3">
      <c r="A18" s="1"/>
      <c r="B18" s="1"/>
      <c r="C18" s="14"/>
      <c r="D18" s="5"/>
      <c r="E18" s="6">
        <f>SUM(E5:E15)</f>
        <v>0</v>
      </c>
      <c r="F18" s="1"/>
      <c r="G18" s="1"/>
      <c r="H18" s="1"/>
      <c r="I18" s="5"/>
      <c r="J18" s="5"/>
      <c r="K18" s="5">
        <f>SUM(K5:K17)</f>
        <v>3360000</v>
      </c>
      <c r="L18" s="1"/>
      <c r="M18" s="1"/>
      <c r="N18" s="1"/>
      <c r="O18" s="1"/>
      <c r="P18" s="1"/>
      <c r="Q18" s="6">
        <f>SUM(Q5:Q17)</f>
        <v>0</v>
      </c>
      <c r="R18" s="1"/>
    </row>
    <row r="19" spans="1:18" x14ac:dyDescent="0.3">
      <c r="A19" s="1"/>
      <c r="B19" s="1"/>
      <c r="C19" s="14"/>
      <c r="D19" s="5"/>
      <c r="E19" s="1"/>
      <c r="F19" s="1"/>
      <c r="G19" s="1"/>
      <c r="H19" s="1"/>
      <c r="I19" s="1"/>
      <c r="J19" s="5"/>
      <c r="K19" s="5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4"/>
      <c r="D20" s="5"/>
      <c r="E20" s="1"/>
      <c r="F20" s="1"/>
      <c r="G20" s="1"/>
      <c r="H20" s="1"/>
      <c r="I20" s="1"/>
      <c r="J20" s="5"/>
      <c r="K20" s="5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4"/>
      <c r="D21" s="5"/>
      <c r="E21" s="1"/>
      <c r="F21" s="1"/>
      <c r="G21" s="1"/>
      <c r="H21" s="1"/>
      <c r="I21" s="1"/>
      <c r="J21" s="5"/>
      <c r="K21" s="5"/>
      <c r="L21" s="1"/>
      <c r="M21" s="1"/>
      <c r="N21" s="1"/>
      <c r="O21" s="1"/>
      <c r="P21" s="1"/>
      <c r="Q21" s="1"/>
      <c r="R21" s="1"/>
    </row>
  </sheetData>
  <mergeCells count="16">
    <mergeCell ref="Q3:Q4"/>
    <mergeCell ref="A1:Q2"/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M3:M4"/>
    <mergeCell ref="N3:N4"/>
    <mergeCell ref="O3:O4"/>
    <mergeCell ref="P3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"/>
  <sheetViews>
    <sheetView tabSelected="1" workbookViewId="0">
      <selection activeCell="W2" sqref="W2"/>
    </sheetView>
  </sheetViews>
  <sheetFormatPr defaultColWidth="9.109375" defaultRowHeight="12" x14ac:dyDescent="0.25"/>
  <cols>
    <col min="1" max="1" width="10.6640625" style="1" bestFit="1" customWidth="1"/>
    <col min="2" max="2" width="9.88671875" style="5" bestFit="1" customWidth="1"/>
    <col min="3" max="3" width="2.44140625" style="7" customWidth="1"/>
    <col min="4" max="4" width="10.6640625" style="1" bestFit="1" customWidth="1"/>
    <col min="5" max="5" width="9.88671875" style="5" bestFit="1" customWidth="1"/>
    <col min="6" max="6" width="2.44140625" style="8" customWidth="1"/>
    <col min="7" max="7" width="10.6640625" style="1" bestFit="1" customWidth="1"/>
    <col min="8" max="8" width="9.88671875" style="5" bestFit="1" customWidth="1"/>
    <col min="9" max="9" width="3.109375" style="8" customWidth="1"/>
    <col min="10" max="10" width="6.5546875" style="1" bestFit="1" customWidth="1"/>
    <col min="11" max="11" width="10.6640625" style="1" bestFit="1" customWidth="1"/>
    <col min="12" max="12" width="3.109375" style="8" customWidth="1"/>
    <col min="13" max="14" width="10.6640625" style="1" customWidth="1"/>
    <col min="15" max="15" width="3.6640625" style="8" customWidth="1"/>
    <col min="16" max="16" width="9.109375" style="1"/>
    <col min="17" max="17" width="9.88671875" style="1" bestFit="1" customWidth="1"/>
    <col min="18" max="18" width="2.6640625" style="8" customWidth="1"/>
    <col min="19" max="19" width="6.6640625" style="1" bestFit="1" customWidth="1"/>
    <col min="20" max="20" width="9.88671875" style="1" bestFit="1" customWidth="1"/>
    <col min="21" max="21" width="2.77734375" style="8" customWidth="1"/>
    <col min="22" max="22" width="9.109375" style="1"/>
    <col min="23" max="23" width="9.88671875" style="1" bestFit="1" customWidth="1"/>
    <col min="24" max="16384" width="9.109375" style="1"/>
  </cols>
  <sheetData>
    <row r="1" spans="1:23" x14ac:dyDescent="0.25">
      <c r="B1" s="5" t="s">
        <v>16</v>
      </c>
      <c r="E1" s="5" t="s">
        <v>17</v>
      </c>
      <c r="H1" s="5" t="s">
        <v>18</v>
      </c>
      <c r="K1" s="1" t="s">
        <v>19</v>
      </c>
      <c r="N1" s="1" t="s">
        <v>24</v>
      </c>
      <c r="Q1" s="1" t="s">
        <v>25</v>
      </c>
      <c r="T1" s="1" t="s">
        <v>16</v>
      </c>
      <c r="W1" s="1" t="s">
        <v>17</v>
      </c>
    </row>
    <row r="2" spans="1:23" x14ac:dyDescent="0.25">
      <c r="A2" s="1" t="s">
        <v>17</v>
      </c>
      <c r="B2" s="5">
        <f>Canggu!E28</f>
        <v>39170000</v>
      </c>
      <c r="D2" s="1" t="s">
        <v>16</v>
      </c>
      <c r="E2" s="5">
        <f>Sayan!E18</f>
        <v>0</v>
      </c>
      <c r="G2" s="1" t="s">
        <v>16</v>
      </c>
      <c r="H2" s="5">
        <f>Pejeng!E32</f>
        <v>0</v>
      </c>
      <c r="J2" s="1" t="s">
        <v>16</v>
      </c>
      <c r="K2" s="6">
        <f>Samplangan!E22</f>
        <v>0</v>
      </c>
      <c r="L2" s="30"/>
      <c r="M2" s="6" t="s">
        <v>16</v>
      </c>
      <c r="N2" s="6">
        <f>Teges!E18</f>
        <v>0</v>
      </c>
      <c r="O2" s="30"/>
      <c r="P2" s="1" t="s">
        <v>16</v>
      </c>
      <c r="Q2" s="6">
        <f>H2+K2+N2-B3-B4-B5</f>
        <v>-23290000</v>
      </c>
      <c r="R2" s="30"/>
      <c r="S2" s="6" t="s">
        <v>25</v>
      </c>
      <c r="T2" s="6">
        <f>B3+B4+B5-H2-K2-N2</f>
        <v>23290000</v>
      </c>
      <c r="U2" s="30"/>
      <c r="V2" s="6" t="s">
        <v>25</v>
      </c>
      <c r="W2" s="6">
        <f>E3+E4+E5-H3-K3-N3</f>
        <v>-31480000</v>
      </c>
    </row>
    <row r="3" spans="1:23" x14ac:dyDescent="0.25">
      <c r="A3" s="1" t="s">
        <v>18</v>
      </c>
      <c r="B3" s="5">
        <f>Canggu!K28</f>
        <v>8000000</v>
      </c>
      <c r="D3" s="1" t="s">
        <v>18</v>
      </c>
      <c r="E3" s="5">
        <f>Sayan!K18</f>
        <v>14700000</v>
      </c>
      <c r="G3" s="1" t="s">
        <v>17</v>
      </c>
      <c r="H3" s="5">
        <f>Pejeng!K32</f>
        <v>41314000</v>
      </c>
      <c r="J3" s="1" t="s">
        <v>17</v>
      </c>
      <c r="K3" s="6">
        <f>Samplangan!K22</f>
        <v>9756000</v>
      </c>
      <c r="L3" s="30"/>
      <c r="M3" s="6" t="s">
        <v>17</v>
      </c>
      <c r="N3" s="6">
        <f>Teges!K18</f>
        <v>3360000</v>
      </c>
      <c r="O3" s="30"/>
      <c r="P3" s="1" t="s">
        <v>17</v>
      </c>
      <c r="Q3" s="6">
        <f>H3+K3+N3-E3-E4-E5</f>
        <v>31480000</v>
      </c>
      <c r="R3" s="30"/>
      <c r="S3" s="6" t="s">
        <v>17</v>
      </c>
      <c r="T3" s="6">
        <f>B2-E2</f>
        <v>39170000</v>
      </c>
      <c r="U3" s="30"/>
      <c r="V3" s="1" t="s">
        <v>16</v>
      </c>
      <c r="W3" s="6">
        <f>E2-B2</f>
        <v>-39170000</v>
      </c>
    </row>
    <row r="4" spans="1:23" x14ac:dyDescent="0.25">
      <c r="A4" s="1" t="s">
        <v>19</v>
      </c>
      <c r="B4" s="5">
        <f>Canggu!Q28</f>
        <v>0</v>
      </c>
      <c r="D4" s="1" t="s">
        <v>19</v>
      </c>
      <c r="E4" s="5">
        <f>Sayan!Q18</f>
        <v>0</v>
      </c>
      <c r="G4" s="1" t="s">
        <v>19</v>
      </c>
      <c r="H4" s="5">
        <f>Pejeng!Q32</f>
        <v>0</v>
      </c>
      <c r="J4" s="1" t="s">
        <v>18</v>
      </c>
      <c r="K4" s="6">
        <f>Samplangan!Q22</f>
        <v>0</v>
      </c>
      <c r="L4" s="30"/>
      <c r="M4" s="6" t="s">
        <v>18</v>
      </c>
      <c r="N4" s="6"/>
      <c r="O4" s="30"/>
    </row>
    <row r="5" spans="1:23" x14ac:dyDescent="0.25">
      <c r="A5" s="1" t="s">
        <v>24</v>
      </c>
      <c r="B5" s="5">
        <f>Canggu!W28</f>
        <v>15290000</v>
      </c>
      <c r="D5" s="1" t="s">
        <v>24</v>
      </c>
      <c r="E5" s="5">
        <f>Sayan!W18</f>
        <v>8250000</v>
      </c>
      <c r="G5" s="1" t="s">
        <v>24</v>
      </c>
      <c r="J5" s="1" t="s">
        <v>24</v>
      </c>
      <c r="M5" s="1" t="s">
        <v>19</v>
      </c>
      <c r="Q5" s="6"/>
      <c r="R5" s="30"/>
      <c r="S5" s="6"/>
    </row>
    <row r="11" spans="1:23" x14ac:dyDescent="0.25">
      <c r="Q11" s="6"/>
      <c r="R11" s="30"/>
      <c r="S11" s="6"/>
      <c r="W11" s="6"/>
    </row>
    <row r="13" spans="1:23" x14ac:dyDescent="0.25">
      <c r="Q13" s="6"/>
      <c r="R13" s="30"/>
      <c r="S13" s="6"/>
      <c r="W13" s="6"/>
    </row>
    <row r="15" spans="1:23" x14ac:dyDescent="0.25">
      <c r="Q15" s="6"/>
      <c r="R15" s="30"/>
      <c r="S15" s="6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Canggu</vt:lpstr>
      <vt:lpstr>Sayan</vt:lpstr>
      <vt:lpstr>Pejeng</vt:lpstr>
      <vt:lpstr>Samplangan</vt:lpstr>
      <vt:lpstr>Teges</vt:lpstr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2022-04-12T04:51:42Z</dcterms:created>
  <dcterms:modified xsi:type="dcterms:W3CDTF">2025-12-03T23:01:03Z</dcterms:modified>
</cp:coreProperties>
</file>